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Needs Review" sheetId="3" state="visible" r:id="rId3"/>
    <sheet xmlns:r="http://schemas.openxmlformats.org/officeDocument/2006/relationships" name="Duplicate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1" hidden="1">'Leads'!$A$1:$AJ$55</definedName>
    <definedName name="_xlnm._FilterDatabase" localSheetId="2" hidden="1">'Needs Review'!$A$1:$N$13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4E78"/>
      <sz val="14"/>
    </font>
    <font>
      <i val="1"/>
      <color rgb="007F7F7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6">
    <dxf>
      <font>
        <color rgb="00006100"/>
      </font>
      <fill>
        <patternFill patternType="solid">
          <fgColor rgb="00C6EFCE"/>
        </patternFill>
      </fill>
    </dxf>
    <dxf>
      <font>
        <color rgb="001F4E78"/>
      </font>
      <fill>
        <patternFill patternType="solid">
          <fgColor rgb="00DDEBF7"/>
        </patternFill>
      </fill>
    </dxf>
    <dxf>
      <font>
        <color rgb="00595959"/>
      </font>
      <fill>
        <patternFill patternType="solid">
          <fgColor rgb="00EDEDED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i val="1"/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way/276532204" TargetMode="External" Id="rId1"/><Relationship Type="http://schemas.openxmlformats.org/officeDocument/2006/relationships/hyperlink" Target="https://www.fonduehuisbeethoven.be/" TargetMode="External" Id="rId2"/><Relationship Type="http://schemas.openxmlformats.org/officeDocument/2006/relationships/hyperlink" Target="https://www.openstreetmap.org/node/4598117448" TargetMode="External" Id="rId3"/><Relationship Type="http://schemas.openxmlformats.org/officeDocument/2006/relationships/hyperlink" Target="mailto:info@bastakortrijk.be" TargetMode="External" Id="rId4"/><Relationship Type="http://schemas.openxmlformats.org/officeDocument/2006/relationships/hyperlink" Target="https://www.bastakortrijk.be/" TargetMode="External" Id="rId5"/><Relationship Type="http://schemas.openxmlformats.org/officeDocument/2006/relationships/hyperlink" Target="https://www.facebook.com/bastakortrijk" TargetMode="External" Id="rId6"/><Relationship Type="http://schemas.openxmlformats.org/officeDocument/2006/relationships/hyperlink" Target="https://www.instagram.com/bastakortrijk" TargetMode="External" Id="rId7"/><Relationship Type="http://schemas.openxmlformats.org/officeDocument/2006/relationships/hyperlink" Target="https://www.openstreetmap.org/node/9977230081" TargetMode="External" Id="rId8"/><Relationship Type="http://schemas.openxmlformats.org/officeDocument/2006/relationships/hyperlink" Target="https://bavet.eu/" TargetMode="External" Id="rId9"/><Relationship Type="http://schemas.openxmlformats.org/officeDocument/2006/relationships/hyperlink" Target="https://www.openstreetmap.org/node/2185620651" TargetMode="External" Id="rId10"/><Relationship Type="http://schemas.openxmlformats.org/officeDocument/2006/relationships/hyperlink" Target="mailto:belfriet@gmail.com" TargetMode="External" Id="rId11"/><Relationship Type="http://schemas.openxmlformats.org/officeDocument/2006/relationships/hyperlink" Target="https://bellegemsfriethuisje.be/" TargetMode="External" Id="rId12"/><Relationship Type="http://schemas.openxmlformats.org/officeDocument/2006/relationships/hyperlink" Target="https://www.facebook.com/Bellegems-Friethuisje-135629569911957" TargetMode="External" Id="rId13"/><Relationship Type="http://schemas.openxmlformats.org/officeDocument/2006/relationships/hyperlink" Target="https://www.openstreetmap.org/way/966031881" TargetMode="External" Id="rId14"/><Relationship Type="http://schemas.openxmlformats.org/officeDocument/2006/relationships/hyperlink" Target="https://www.beudaert.be/" TargetMode="External" Id="rId15"/><Relationship Type="http://schemas.openxmlformats.org/officeDocument/2006/relationships/hyperlink" Target="https://www.openstreetmap.org/node/4634140692" TargetMode="External" Id="rId16"/><Relationship Type="http://schemas.openxmlformats.org/officeDocument/2006/relationships/hyperlink" Target="mailto:bistroaucasino@gmail.com" TargetMode="External" Id="rId17"/><Relationship Type="http://schemas.openxmlformats.org/officeDocument/2006/relationships/hyperlink" Target="https://www.openstreetmap.org/node/11854695616" TargetMode="External" Id="rId18"/><Relationship Type="http://schemas.openxmlformats.org/officeDocument/2006/relationships/hyperlink" Target="https://www.openstreetmap.org/way/562503124" TargetMode="External" Id="rId19"/><Relationship Type="http://schemas.openxmlformats.org/officeDocument/2006/relationships/hyperlink" Target="http://www.bocca.be/locations/kortrijk.html" TargetMode="External" Id="rId20"/><Relationship Type="http://schemas.openxmlformats.org/officeDocument/2006/relationships/hyperlink" Target="https://www.openstreetmap.org/node/3855298771" TargetMode="External" Id="rId21"/><Relationship Type="http://schemas.openxmlformats.org/officeDocument/2006/relationships/hyperlink" Target="mailto:eat@bowls-kortrijk.be" TargetMode="External" Id="rId22"/><Relationship Type="http://schemas.openxmlformats.org/officeDocument/2006/relationships/hyperlink" Target="https://www.bowls-kortrijk.be/" TargetMode="External" Id="rId23"/><Relationship Type="http://schemas.openxmlformats.org/officeDocument/2006/relationships/hyperlink" Target="https://www.openstreetmap.org/node/8326315864" TargetMode="External" Id="rId24"/><Relationship Type="http://schemas.openxmlformats.org/officeDocument/2006/relationships/hyperlink" Target="https://www.cafe-leffe-kortrijk.be/" TargetMode="External" Id="rId25"/><Relationship Type="http://schemas.openxmlformats.org/officeDocument/2006/relationships/hyperlink" Target="https://www.openstreetmap.org/node/3855377534" TargetMode="External" Id="rId26"/><Relationship Type="http://schemas.openxmlformats.org/officeDocument/2006/relationships/hyperlink" Target="https://chapeluur.eu/" TargetMode="External" Id="rId27"/><Relationship Type="http://schemas.openxmlformats.org/officeDocument/2006/relationships/hyperlink" Target="https://www.openstreetmap.org/node/3855371092" TargetMode="External" Id="rId28"/><Relationship Type="http://schemas.openxmlformats.org/officeDocument/2006/relationships/hyperlink" Target="mailto:info@chezfergan.be" TargetMode="External" Id="rId29"/><Relationship Type="http://schemas.openxmlformats.org/officeDocument/2006/relationships/hyperlink" Target="https://chezfergan.be/" TargetMode="External" Id="rId30"/><Relationship Type="http://schemas.openxmlformats.org/officeDocument/2006/relationships/hyperlink" Target="https://www.facebook.com/profile.php?id=61563090756801" TargetMode="External" Id="rId31"/><Relationship Type="http://schemas.openxmlformats.org/officeDocument/2006/relationships/hyperlink" Target="https://www.openstreetmap.org/node/12311551834" TargetMode="External" Id="rId32"/><Relationship Type="http://schemas.openxmlformats.org/officeDocument/2006/relationships/hyperlink" Target="mailto:info@oudeburcht.be" TargetMode="External" Id="rId33"/><Relationship Type="http://schemas.openxmlformats.org/officeDocument/2006/relationships/hyperlink" Target="https://www.oudeburcht.be/" TargetMode="External" Id="rId34"/><Relationship Type="http://schemas.openxmlformats.org/officeDocument/2006/relationships/hyperlink" Target="https://www.openstreetmap.org/node/4598133877" TargetMode="External" Id="rId35"/><Relationship Type="http://schemas.openxmlformats.org/officeDocument/2006/relationships/hyperlink" Target="mailto:fitz@degaragekortrijk.be" TargetMode="External" Id="rId36"/><Relationship Type="http://schemas.openxmlformats.org/officeDocument/2006/relationships/hyperlink" Target="https://www.degaragekortrijk.be/" TargetMode="External" Id="rId37"/><Relationship Type="http://schemas.openxmlformats.org/officeDocument/2006/relationships/hyperlink" Target="https://www.instagram.com/degaragekortrijk" TargetMode="External" Id="rId38"/><Relationship Type="http://schemas.openxmlformats.org/officeDocument/2006/relationships/hyperlink" Target="https://www.openstreetmap.org/node/10686651253" TargetMode="External" Id="rId39"/><Relationship Type="http://schemas.openxmlformats.org/officeDocument/2006/relationships/hyperlink" Target="https://www.openstreetmap.org/node/779033004" TargetMode="External" Id="rId40"/><Relationship Type="http://schemas.openxmlformats.org/officeDocument/2006/relationships/hyperlink" Target="https://www.openstreetmap.org/node/1083293580" TargetMode="External" Id="rId41"/><Relationship Type="http://schemas.openxmlformats.org/officeDocument/2006/relationships/hyperlink" Target="https://dedingen.be/" TargetMode="External" Id="rId42"/><Relationship Type="http://schemas.openxmlformats.org/officeDocument/2006/relationships/hyperlink" Target="https://www.openstreetmap.org/node/2065691962" TargetMode="External" Id="rId43"/><Relationship Type="http://schemas.openxmlformats.org/officeDocument/2006/relationships/hyperlink" Target="https://www.openstreetmap.org/node/703600346" TargetMode="External" Id="rId44"/><Relationship Type="http://schemas.openxmlformats.org/officeDocument/2006/relationships/hyperlink" Target="https://www.openstreetmap.org/way/391267222" TargetMode="External" Id="rId45"/><Relationship Type="http://schemas.openxmlformats.org/officeDocument/2006/relationships/hyperlink" Target="https://www.dynastyocho.be/" TargetMode="External" Id="rId46"/><Relationship Type="http://schemas.openxmlformats.org/officeDocument/2006/relationships/hyperlink" Target="https://www.openstreetmap.org/node/4485631691" TargetMode="External" Id="rId47"/><Relationship Type="http://schemas.openxmlformats.org/officeDocument/2006/relationships/hyperlink" Target="https://eetcafenostalgie.be/" TargetMode="External" Id="rId48"/><Relationship Type="http://schemas.openxmlformats.org/officeDocument/2006/relationships/hyperlink" Target="https://www.openstreetmap.org/node/4853104325" TargetMode="External" Id="rId49"/><Relationship Type="http://schemas.openxmlformats.org/officeDocument/2006/relationships/hyperlink" Target="mailto:info@frituurnatuur.be" TargetMode="External" Id="rId50"/><Relationship Type="http://schemas.openxmlformats.org/officeDocument/2006/relationships/hyperlink" Target="https://www.frituurnatuur.be/" TargetMode="External" Id="rId51"/><Relationship Type="http://schemas.openxmlformats.org/officeDocument/2006/relationships/hyperlink" Target="https://www.openstreetmap.org/way/408034848" TargetMode="External" Id="rId52"/><Relationship Type="http://schemas.openxmlformats.org/officeDocument/2006/relationships/hyperlink" Target="https://www.goedtenhoute.be/" TargetMode="External" Id="rId53"/><Relationship Type="http://schemas.openxmlformats.org/officeDocument/2006/relationships/hyperlink" Target="https://www.openstreetmap.org/relation/17071436" TargetMode="External" Id="rId54"/><Relationship Type="http://schemas.openxmlformats.org/officeDocument/2006/relationships/hyperlink" Target="mailto:gursha.kortrijk@gmail.com" TargetMode="External" Id="rId55"/><Relationship Type="http://schemas.openxmlformats.org/officeDocument/2006/relationships/hyperlink" Target="https://gurshakortrijk.com/" TargetMode="External" Id="rId56"/><Relationship Type="http://schemas.openxmlformats.org/officeDocument/2006/relationships/hyperlink" Target="https://www.facebook.com/profile.php?id=61582449869308" TargetMode="External" Id="rId57"/><Relationship Type="http://schemas.openxmlformats.org/officeDocument/2006/relationships/hyperlink" Target="https://www.openstreetmap.org/node/13285101515" TargetMode="External" Id="rId58"/><Relationship Type="http://schemas.openxmlformats.org/officeDocument/2006/relationships/hyperlink" Target="mailto:info@hollywok.be" TargetMode="External" Id="rId59"/><Relationship Type="http://schemas.openxmlformats.org/officeDocument/2006/relationships/hyperlink" Target="https://hollywok.be/" TargetMode="External" Id="rId60"/><Relationship Type="http://schemas.openxmlformats.org/officeDocument/2006/relationships/hyperlink" Target="https://www.openstreetmap.org/node/703602654" TargetMode="External" Id="rId61"/><Relationship Type="http://schemas.openxmlformats.org/officeDocument/2006/relationships/hyperlink" Target="https://izycoffee.be/" TargetMode="External" Id="rId62"/><Relationship Type="http://schemas.openxmlformats.org/officeDocument/2006/relationships/hyperlink" Target="https://www.openstreetmap.org/way/561288931" TargetMode="External" Id="rId63"/><Relationship Type="http://schemas.openxmlformats.org/officeDocument/2006/relationships/hyperlink" Target="https://www.openstreetmap.org/way/276194080" TargetMode="External" Id="rId64"/><Relationship Type="http://schemas.openxmlformats.org/officeDocument/2006/relationships/hyperlink" Target="mailto:enjoy@lecoucou.be" TargetMode="External" Id="rId65"/><Relationship Type="http://schemas.openxmlformats.org/officeDocument/2006/relationships/hyperlink" Target="https://www.lecoucou.be/" TargetMode="External" Id="rId66"/><Relationship Type="http://schemas.openxmlformats.org/officeDocument/2006/relationships/hyperlink" Target="https://www.openstreetmap.org/node/7734520885" TargetMode="External" Id="rId67"/><Relationship Type="http://schemas.openxmlformats.org/officeDocument/2006/relationships/hyperlink" Target="https://www.nagomisushi.be/" TargetMode="External" Id="rId68"/><Relationship Type="http://schemas.openxmlformats.org/officeDocument/2006/relationships/hyperlink" Target="https://www.facebook.com/nagomisushi" TargetMode="External" Id="rId69"/><Relationship Type="http://schemas.openxmlformats.org/officeDocument/2006/relationships/hyperlink" Target="https://www.openstreetmap.org/node/3841577021" TargetMode="External" Id="rId70"/><Relationship Type="http://schemas.openxmlformats.org/officeDocument/2006/relationships/hyperlink" Target="https://www.natakortrijk.be/" TargetMode="External" Id="rId71"/><Relationship Type="http://schemas.openxmlformats.org/officeDocument/2006/relationships/hyperlink" Target="https://www.openstreetmap.org/node/1345512685" TargetMode="External" Id="rId72"/><Relationship Type="http://schemas.openxmlformats.org/officeDocument/2006/relationships/hyperlink" Target="https://www.nude-kortrijk.be/" TargetMode="External" Id="rId73"/><Relationship Type="http://schemas.openxmlformats.org/officeDocument/2006/relationships/hyperlink" Target="https://www.openstreetmap.org/way/567390704" TargetMode="External" Id="rId74"/><Relationship Type="http://schemas.openxmlformats.org/officeDocument/2006/relationships/hyperlink" Target="http://www.oriental-kortrijk.be/" TargetMode="External" Id="rId75"/><Relationship Type="http://schemas.openxmlformats.org/officeDocument/2006/relationships/hyperlink" Target="https://www.openstreetmap.org/node/4460059189" TargetMode="External" Id="rId76"/><Relationship Type="http://schemas.openxmlformats.org/officeDocument/2006/relationships/hyperlink" Target="https://pastasciutta.be/" TargetMode="External" Id="rId77"/><Relationship Type="http://schemas.openxmlformats.org/officeDocument/2006/relationships/hyperlink" Target="https://www.openstreetmap.org/node/4594493381" TargetMode="External" Id="rId78"/><Relationship Type="http://schemas.openxmlformats.org/officeDocument/2006/relationships/hyperlink" Target="http://www.piccoli.be/" TargetMode="External" Id="rId79"/><Relationship Type="http://schemas.openxmlformats.org/officeDocument/2006/relationships/hyperlink" Target="https://www.openstreetmap.org/node/3841537245" TargetMode="External" Id="rId80"/><Relationship Type="http://schemas.openxmlformats.org/officeDocument/2006/relationships/hyperlink" Target="https://restaurants.pizzahut.be/restaurant/restaurant-kortrijk-kinepolis" TargetMode="External" Id="rId81"/><Relationship Type="http://schemas.openxmlformats.org/officeDocument/2006/relationships/hyperlink" Target="https://www.openstreetmap.org/node/6598795472" TargetMode="External" Id="rId82"/><Relationship Type="http://schemas.openxmlformats.org/officeDocument/2006/relationships/hyperlink" Target="https://www.openstreetmap.org/node/737246925" TargetMode="External" Id="rId83"/><Relationship Type="http://schemas.openxmlformats.org/officeDocument/2006/relationships/hyperlink" Target="https://www.l-osteria.be/" TargetMode="External" Id="rId84"/><Relationship Type="http://schemas.openxmlformats.org/officeDocument/2006/relationships/hyperlink" Target="https://www.openstreetmap.org/node/3841537246" TargetMode="External" Id="rId85"/><Relationship Type="http://schemas.openxmlformats.org/officeDocument/2006/relationships/hyperlink" Target="mailto:info@pizzicotto.be" TargetMode="External" Id="rId86"/><Relationship Type="http://schemas.openxmlformats.org/officeDocument/2006/relationships/hyperlink" Target="https://www.pizzicotto.be/" TargetMode="External" Id="rId87"/><Relationship Type="http://schemas.openxmlformats.org/officeDocument/2006/relationships/hyperlink" Target="https://www.facebook.com/Emilia.Anton1988" TargetMode="External" Id="rId88"/><Relationship Type="http://schemas.openxmlformats.org/officeDocument/2006/relationships/hyperlink" Target="https://www.openstreetmap.org/node/12294108325" TargetMode="External" Id="rId89"/><Relationship Type="http://schemas.openxmlformats.org/officeDocument/2006/relationships/hyperlink" Target="mailto:info@ripasso.be" TargetMode="External" Id="rId90"/><Relationship Type="http://schemas.openxmlformats.org/officeDocument/2006/relationships/hyperlink" Target="http://www.ripasso.be/" TargetMode="External" Id="rId91"/><Relationship Type="http://schemas.openxmlformats.org/officeDocument/2006/relationships/hyperlink" Target="https://www.openstreetmap.org/node/10168651060" TargetMode="External" Id="rId92"/><Relationship Type="http://schemas.openxmlformats.org/officeDocument/2006/relationships/hyperlink" Target="https://www.stchristophe.be/" TargetMode="External" Id="rId93"/><Relationship Type="http://schemas.openxmlformats.org/officeDocument/2006/relationships/hyperlink" Target="https://www.openstreetmap.org/node/7123362537" TargetMode="External" Id="rId94"/><Relationship Type="http://schemas.openxmlformats.org/officeDocument/2006/relationships/hyperlink" Target="https://www.st-cornil-aalbeke.be/" TargetMode="External" Id="rId95"/><Relationship Type="http://schemas.openxmlformats.org/officeDocument/2006/relationships/hyperlink" Target="https://www.openstreetmap.org/node/2729766962" TargetMode="External" Id="rId96"/><Relationship Type="http://schemas.openxmlformats.org/officeDocument/2006/relationships/hyperlink" Target="https://www.restaurantstgeorges.com/" TargetMode="External" Id="rId97"/><Relationship Type="http://schemas.openxmlformats.org/officeDocument/2006/relationships/hyperlink" Target="https://www.openstreetmap.org/node/790036984" TargetMode="External" Id="rId98"/><Relationship Type="http://schemas.openxmlformats.org/officeDocument/2006/relationships/hyperlink" Target="https://www.tarterie.be/" TargetMode="External" Id="rId99"/><Relationship Type="http://schemas.openxmlformats.org/officeDocument/2006/relationships/hyperlink" Target="https://www.facebook.com/Tarterie.be" TargetMode="External" Id="rId100"/><Relationship Type="http://schemas.openxmlformats.org/officeDocument/2006/relationships/hyperlink" Target="https://www.openstreetmap.org/node/3855250816" TargetMode="External" Id="rId101"/><Relationship Type="http://schemas.openxmlformats.org/officeDocument/2006/relationships/hyperlink" Target="mailto:info@vesperkortrijk.be" TargetMode="External" Id="rId102"/><Relationship Type="http://schemas.openxmlformats.org/officeDocument/2006/relationships/hyperlink" Target="https://www.vesperkortrijk.be/" TargetMode="External" Id="rId103"/><Relationship Type="http://schemas.openxmlformats.org/officeDocument/2006/relationships/hyperlink" Target="https://www.facebook.com/vesperkortrijk" TargetMode="External" Id="rId104"/><Relationship Type="http://schemas.openxmlformats.org/officeDocument/2006/relationships/hyperlink" Target="https://www.instagram.com/vesperkortrijk" TargetMode="External" Id="rId105"/><Relationship Type="http://schemas.openxmlformats.org/officeDocument/2006/relationships/hyperlink" Target="https://www.openstreetmap.org/node/10082074964" TargetMode="External" Id="rId106"/><Relationship Type="http://schemas.openxmlformats.org/officeDocument/2006/relationships/hyperlink" Target="mailto:info@wilmandascoffee.com" TargetMode="External" Id="rId107"/><Relationship Type="http://schemas.openxmlformats.org/officeDocument/2006/relationships/hyperlink" Target="https://www.wilmandascoffee.com/" TargetMode="External" Id="rId108"/><Relationship Type="http://schemas.openxmlformats.org/officeDocument/2006/relationships/hyperlink" Target="https://www.facebook.com/profile.php?id=61576366208510" TargetMode="External" Id="rId109"/><Relationship Type="http://schemas.openxmlformats.org/officeDocument/2006/relationships/hyperlink" Target="https://www.openstreetmap.org/node/13395819766" TargetMode="External" Id="rId110"/><Relationship Type="http://schemas.openxmlformats.org/officeDocument/2006/relationships/hyperlink" Target="mailto:info@baristokat.be" TargetMode="External" Id="rId111"/><Relationship Type="http://schemas.openxmlformats.org/officeDocument/2006/relationships/hyperlink" Target="https://baristokat-kattencafe.be/" TargetMode="External" Id="rId112"/><Relationship Type="http://schemas.openxmlformats.org/officeDocument/2006/relationships/hyperlink" Target="https://www.instagram.com/baristokat.kortrijk" TargetMode="External" Id="rId113"/><Relationship Type="http://schemas.openxmlformats.org/officeDocument/2006/relationships/hyperlink" Target="https://www.openstreetmap.org/node/9288274414" TargetMode="External" Id="rId114"/><Relationship Type="http://schemas.openxmlformats.org/officeDocument/2006/relationships/hyperlink" Target="https://www.vives.be/nl/kortrijk/bistro" TargetMode="External" Id="rId115"/><Relationship Type="http://schemas.openxmlformats.org/officeDocument/2006/relationships/hyperlink" Target="https://www.openstreetmap.org/node/8004386864" TargetMode="External" Id="rId116"/><Relationship Type="http://schemas.openxmlformats.org/officeDocument/2006/relationships/hyperlink" Target="https://www.bistrotoutcourt.be/" TargetMode="External" Id="rId117"/><Relationship Type="http://schemas.openxmlformats.org/officeDocument/2006/relationships/hyperlink" Target="https://www.openstreetmap.org/node/6932290778" TargetMode="External" Id="rId118"/><Relationship Type="http://schemas.openxmlformats.org/officeDocument/2006/relationships/hyperlink" Target="mailto:els@kostbar-marke.be" TargetMode="External" Id="rId119"/><Relationship Type="http://schemas.openxmlformats.org/officeDocument/2006/relationships/hyperlink" Target="https://kostbar-marke.be/" TargetMode="External" Id="rId120"/><Relationship Type="http://schemas.openxmlformats.org/officeDocument/2006/relationships/hyperlink" Target="https://www.facebook.com/kostbarmarke" TargetMode="External" Id="rId121"/><Relationship Type="http://schemas.openxmlformats.org/officeDocument/2006/relationships/hyperlink" Target="https://www.openstreetmap.org/node/11724904081" TargetMode="External" Id="rId122"/><Relationship Type="http://schemas.openxmlformats.org/officeDocument/2006/relationships/hyperlink" Target="https://www.vives.be/nl/kortrijk/storiadi" TargetMode="External" Id="rId123"/><Relationship Type="http://schemas.openxmlformats.org/officeDocument/2006/relationships/hyperlink" Target="https://www.openstreetmap.org/node/8004386863" TargetMode="External" Id="rId124"/><Relationship Type="http://schemas.openxmlformats.org/officeDocument/2006/relationships/hyperlink" Target="mailto:info@thailin.be" TargetMode="External" Id="rId125"/><Relationship Type="http://schemas.openxmlformats.org/officeDocument/2006/relationships/hyperlink" Target="http://www.y-notthai.com/" TargetMode="External" Id="rId126"/><Relationship Type="http://schemas.openxmlformats.org/officeDocument/2006/relationships/hyperlink" Target="https://www.openstreetmap.org/node/3839667142" TargetMode="External" Id="rId127"/><Relationship Type="http://schemas.openxmlformats.org/officeDocument/2006/relationships/hyperlink" Target="https://www.vives.be/nl/kortrijk/thecube" TargetMode="External" Id="rId128"/><Relationship Type="http://schemas.openxmlformats.org/officeDocument/2006/relationships/hyperlink" Target="https://www.openstreetmap.org/node/8004386862" TargetMode="External" Id="rId129"/><Relationship Type="http://schemas.openxmlformats.org/officeDocument/2006/relationships/hyperlink" Target="mailto:info@vivasarakaffee.com" TargetMode="External" Id="rId130"/><Relationship Type="http://schemas.openxmlformats.org/officeDocument/2006/relationships/hyperlink" Target="https://www.vivasara.be/nl/kaffee/kortrijk" TargetMode="External" Id="rId131"/><Relationship Type="http://schemas.openxmlformats.org/officeDocument/2006/relationships/hyperlink" Target="https://www.openstreetmap.org/node/4905761821" TargetMode="External" Id="rId132"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50" customWidth="1" min="4" max="4"/>
  </cols>
  <sheetData>
    <row r="1">
      <c r="A1" s="1" t="inlineStr">
        <is>
          <t>Restaurants &amp; cafés in Kortrijk (BE) - verified lead list</t>
        </is>
      </c>
    </row>
    <row r="2">
      <c r="A2" s="2" t="inlineStr">
        <is>
          <t>Live summary - the counts below are formulas and update when the data sheet is edited.</t>
        </is>
      </c>
    </row>
    <row r="4">
      <c r="A4" s="3" t="inlineStr">
        <is>
          <t>Records</t>
        </is>
      </c>
    </row>
    <row r="5">
      <c r="A5" t="inlineStr">
        <is>
          <t>Delivered records</t>
        </is>
      </c>
      <c r="B5">
        <f>COUNTA('Leads'!A:A)-1</f>
        <v/>
      </c>
    </row>
    <row r="6">
      <c r="A6" t="inlineStr">
        <is>
          <t>Verified</t>
        </is>
      </c>
      <c r="B6">
        <f>COUNTIF('Leads'!W:W,"VERIFIED")</f>
        <v/>
      </c>
      <c r="C6" s="4">
        <f>IF(B5=0,0,B6/B5)</f>
        <v/>
      </c>
    </row>
    <row r="7">
      <c r="A7" t="inlineStr">
        <is>
          <t>Partially verified</t>
        </is>
      </c>
      <c r="B7">
        <f>COUNTIF('Leads'!W:W,"PARTIALLY_VERIFIED")</f>
        <v/>
      </c>
      <c r="C7" s="4">
        <f>IF(B5=0,0,B7/B5)</f>
        <v/>
      </c>
    </row>
    <row r="8">
      <c r="A8" t="inlineStr">
        <is>
          <t>Unverified</t>
        </is>
      </c>
      <c r="B8">
        <f>COUNTIF('Leads'!W:W,"UNVERIFIED")</f>
        <v/>
      </c>
      <c r="C8" s="4">
        <f>IF(B5=0,0,B8/B5)</f>
        <v/>
      </c>
    </row>
    <row r="9">
      <c r="A9" t="inlineStr">
        <is>
          <t>Needs review</t>
        </is>
      </c>
      <c r="B9">
        <f>COUNTIF('Leads'!W:W,"NEEDS_REVIEW")</f>
        <v/>
      </c>
      <c r="C9" s="4">
        <f>IF(B5=0,0,B9/B5)</f>
        <v/>
      </c>
    </row>
    <row r="10">
      <c r="A10" t="inlineStr">
        <is>
          <t>Extracted before merge/exclusion</t>
        </is>
      </c>
      <c r="B10" t="n">
        <v>60</v>
      </c>
    </row>
    <row r="11">
      <c r="A11" t="inlineStr">
        <is>
          <t>Duplicate groups</t>
        </is>
      </c>
      <c r="B11" t="n">
        <v>5</v>
      </c>
    </row>
    <row r="12">
      <c r="A12" t="inlineStr">
        <is>
          <t>Reviewer decisions recorded</t>
        </is>
      </c>
      <c r="B12">
        <f>COUNTA('Leads'!AI:AI)-1</f>
        <v/>
      </c>
    </row>
    <row r="14">
      <c r="A14" s="3" t="inlineStr">
        <is>
          <t>Field completeness</t>
        </is>
      </c>
      <c r="B14" s="3" t="inlineStr">
        <is>
          <t>Filled</t>
        </is>
      </c>
      <c r="C14" s="3" t="inlineStr">
        <is>
          <t>Share</t>
        </is>
      </c>
      <c r="D14" s="3" t="inlineStr">
        <is>
          <t>How it is verified</t>
        </is>
      </c>
    </row>
    <row r="15">
      <c r="A15" t="inlineStr">
        <is>
          <t>Company name</t>
        </is>
      </c>
      <c r="B15">
        <f>COUNTA('Leads'!B:B)-1</f>
        <v/>
      </c>
      <c r="C15" s="4">
        <f>IF(B5=0,0,B15/B5)</f>
        <v/>
      </c>
      <c r="D15" s="5" t="inlineStr">
        <is>
          <t>Present in the primary source; confirmed when found on the company's own website.</t>
        </is>
      </c>
    </row>
    <row r="16">
      <c r="A16" t="inlineStr">
        <is>
          <t>Legal entity name</t>
        </is>
      </c>
      <c r="B16">
        <f>COUNTA('Leads'!C:C)-1</f>
        <v/>
      </c>
      <c r="C16" s="4">
        <f>IF(B5=0,0,B16/B5)</f>
        <v/>
      </c>
      <c r="D16" s="5" t="inlineStr">
        <is>
          <t>Returned by the EU VIES VAT service for a valid VAT number.</t>
        </is>
      </c>
    </row>
    <row r="17">
      <c r="A17" t="inlineStr">
        <is>
          <t>Category</t>
        </is>
      </c>
      <c r="B17">
        <f>COUNTA('Leads'!D:D)-1</f>
        <v/>
      </c>
      <c r="C17" s="4">
        <f>IF(B5=0,0,B17/B5)</f>
        <v/>
      </c>
      <c r="D17" s="5" t="inlineStr"/>
    </row>
    <row r="18">
      <c r="A18" t="inlineStr">
        <is>
          <t>Subcategory</t>
        </is>
      </c>
      <c r="B18">
        <f>COUNTA('Leads'!E:E)-1</f>
        <v/>
      </c>
      <c r="C18" s="4">
        <f>IF(B5=0,0,B18/B5)</f>
        <v/>
      </c>
      <c r="D18" s="5" t="inlineStr"/>
    </row>
    <row r="19">
      <c r="A19" t="inlineStr">
        <is>
          <t>Street</t>
        </is>
      </c>
      <c r="B19">
        <f>COUNTA('Leads'!F:F)-1</f>
        <v/>
      </c>
      <c r="C19" s="4">
        <f>IF(B5=0,0,B19/B5)</f>
        <v/>
      </c>
      <c r="D19" s="5" t="inlineStr"/>
    </row>
    <row r="20">
      <c r="A20" t="inlineStr">
        <is>
          <t>No.</t>
        </is>
      </c>
      <c r="B20">
        <f>COUNTA('Leads'!G:G)-1</f>
        <v/>
      </c>
      <c r="C20" s="4">
        <f>IF(B5=0,0,B20/B5)</f>
        <v/>
      </c>
      <c r="D20" s="5" t="inlineStr"/>
    </row>
    <row r="21">
      <c r="A21" t="inlineStr">
        <is>
          <t>Postcode</t>
        </is>
      </c>
      <c r="B21">
        <f>COUNTA('Leads'!H:H)-1</f>
        <v/>
      </c>
      <c r="C21" s="4">
        <f>IF(B5=0,0,B21/B5)</f>
        <v/>
      </c>
      <c r="D21" s="5" t="inlineStr">
        <is>
          <t>Format checked for the project country.</t>
        </is>
      </c>
    </row>
    <row r="22">
      <c r="A22" t="inlineStr">
        <is>
          <t>City</t>
        </is>
      </c>
      <c r="B22">
        <f>COUNTA('Leads'!I:I)-1</f>
        <v/>
      </c>
      <c r="C22" s="4">
        <f>IF(B5=0,0,B22/B5)</f>
        <v/>
      </c>
      <c r="D22" s="5" t="inlineStr"/>
    </row>
    <row r="23">
      <c r="A23" t="inlineStr">
        <is>
          <t>District</t>
        </is>
      </c>
      <c r="B23">
        <f>COUNTA('Leads'!J:J)-1</f>
        <v/>
      </c>
      <c r="C23" s="4">
        <f>IF(B5=0,0,B23/B5)</f>
        <v/>
      </c>
      <c r="D23" s="5" t="inlineStr"/>
    </row>
    <row r="24">
      <c r="A24" t="inlineStr">
        <is>
          <t>Country</t>
        </is>
      </c>
      <c r="B24">
        <f>COUNTA('Leads'!K:K)-1</f>
        <v/>
      </c>
      <c r="C24" s="4">
        <f>IF(B5=0,0,B24/B5)</f>
        <v/>
      </c>
      <c r="D24" s="5" t="inlineStr"/>
    </row>
    <row r="25">
      <c r="A25" t="inlineStr">
        <is>
          <t>Phone</t>
        </is>
      </c>
      <c r="B25">
        <f>COUNTA('Leads'!L:L)-1</f>
        <v/>
      </c>
      <c r="C25" s="4">
        <f>IF(B5=0,0,B25/B5)</f>
        <v/>
      </c>
      <c r="D25" s="5" t="inlineStr">
        <is>
          <t>Parsed and validated with libphonenumber; confirmed when the same number appears on the website.</t>
        </is>
      </c>
    </row>
    <row r="26">
      <c r="A26" t="inlineStr">
        <is>
          <t>E-mail</t>
        </is>
      </c>
      <c r="B26">
        <f>COUNTA('Leads'!M:M)-1</f>
        <v/>
      </c>
      <c r="C26" s="4">
        <f>IF(B5=0,0,B26/B5)</f>
        <v/>
      </c>
      <c r="D26" s="5" t="inlineStr">
        <is>
          <t>Syntax check + mail-domain (MX) lookup; confirmed when found on the company's website.</t>
        </is>
      </c>
    </row>
    <row r="27">
      <c r="A27" t="inlineStr">
        <is>
          <t>Website</t>
        </is>
      </c>
      <c r="B27">
        <f>COUNTA('Leads'!N:N)-1</f>
        <v/>
      </c>
      <c r="C27" s="4">
        <f>IF(B5=0,0,B27/B5)</f>
        <v/>
      </c>
      <c r="D27" s="5" t="inlineStr">
        <is>
          <t>Fetched live; confirmed when the company name appears on the page.</t>
        </is>
      </c>
    </row>
    <row r="28">
      <c r="A28" t="inlineStr">
        <is>
          <t>LinkedIn</t>
        </is>
      </c>
      <c r="B28">
        <f>COUNTA('Leads'!O:O)-1</f>
        <v/>
      </c>
      <c r="C28" s="4">
        <f>IF(B5=0,0,B28/B5)</f>
        <v/>
      </c>
      <c r="D28" s="5" t="inlineStr">
        <is>
          <t>Link found on the company's own website or supplied by the source.</t>
        </is>
      </c>
    </row>
    <row r="29">
      <c r="A29" t="inlineStr">
        <is>
          <t>Facebook</t>
        </is>
      </c>
      <c r="B29">
        <f>COUNTA('Leads'!P:P)-1</f>
        <v/>
      </c>
      <c r="C29" s="4">
        <f>IF(B5=0,0,B29/B5)</f>
        <v/>
      </c>
      <c r="D29" s="5" t="inlineStr"/>
    </row>
    <row r="30">
      <c r="A30" t="inlineStr">
        <is>
          <t>Instagram</t>
        </is>
      </c>
      <c r="B30">
        <f>COUNTA('Leads'!Q:Q)-1</f>
        <v/>
      </c>
      <c r="C30" s="4">
        <f>IF(B5=0,0,B30/B5)</f>
        <v/>
      </c>
      <c r="D30" s="5" t="inlineStr"/>
    </row>
    <row r="31">
      <c r="A31" t="inlineStr">
        <is>
          <t>VAT number</t>
        </is>
      </c>
      <c r="B31">
        <f>COUNTA('Leads'!R:R)-1</f>
        <v/>
      </c>
      <c r="C31" s="4">
        <f>IF(B5=0,0,B31/B5)</f>
        <v/>
      </c>
      <c r="D31" s="5" t="inlineStr">
        <is>
          <t>Checksum validated; existence and registered name checked with the EU VIES service.</t>
        </is>
      </c>
    </row>
    <row r="32">
      <c r="A32" t="inlineStr">
        <is>
          <t>Opening hours</t>
        </is>
      </c>
      <c r="B32">
        <f>COUNTA('Leads'!S:S)-1</f>
        <v/>
      </c>
      <c r="C32" s="4">
        <f>IF(B5=0,0,B32/B5)</f>
        <v/>
      </c>
      <c r="D32" s="5" t="inlineStr"/>
    </row>
    <row r="33">
      <c r="A33" t="inlineStr">
        <is>
          <t>Description</t>
        </is>
      </c>
      <c r="B33">
        <f>COUNTA('Leads'!T:T)-1</f>
        <v/>
      </c>
      <c r="C33" s="4">
        <f>IF(B5=0,0,B33/B5)</f>
        <v/>
      </c>
      <c r="D33" s="5" t="inlineStr"/>
    </row>
    <row r="34">
      <c r="A34" t="inlineStr">
        <is>
          <t>Latitude</t>
        </is>
      </c>
      <c r="B34">
        <f>COUNTA('Leads'!U:U)-1</f>
        <v/>
      </c>
      <c r="C34" s="4">
        <f>IF(B5=0,0,B34/B5)</f>
        <v/>
      </c>
      <c r="D34" s="5" t="inlineStr"/>
    </row>
    <row r="35">
      <c r="A35" t="inlineStr">
        <is>
          <t>Longitude</t>
        </is>
      </c>
      <c r="B35">
        <f>COUNTA('Leads'!V:V)-1</f>
        <v/>
      </c>
      <c r="C35" s="4">
        <f>IF(B5=0,0,B35/B5)</f>
        <v/>
      </c>
      <c r="D35" s="5" t="inlineStr"/>
    </row>
    <row r="37">
      <c r="A37" s="3" t="inlineStr">
        <is>
          <t>Verification of key fields</t>
        </is>
      </c>
      <c r="B37" s="3" t="inlineStr">
        <is>
          <t>verified</t>
        </is>
      </c>
      <c r="C37" s="3" t="inlineStr">
        <is>
          <t>unverified</t>
        </is>
      </c>
      <c r="D37" s="3" t="inlineStr">
        <is>
          <t>conflict / invalid</t>
        </is>
      </c>
    </row>
    <row r="38">
      <c r="A38" t="inlineStr">
        <is>
          <t>Company name check</t>
        </is>
      </c>
      <c r="B38">
        <f>COUNTIF('Leads'!Z:Z,"verified*")</f>
        <v/>
      </c>
      <c r="C38">
        <f>COUNTIF('Leads'!Z:Z,"unverified*")</f>
        <v/>
      </c>
      <c r="D38">
        <f>COUNTIF('Leads'!Z:Z,"conflict*")+COUNTIF('Leads'!Z:Z,"invalid*")</f>
        <v/>
      </c>
    </row>
    <row r="39">
      <c r="A39" t="inlineStr">
        <is>
          <t>Website check</t>
        </is>
      </c>
      <c r="B39">
        <f>COUNTIF('Leads'!AA:AA,"verified*")</f>
        <v/>
      </c>
      <c r="C39">
        <f>COUNTIF('Leads'!AA:AA,"unverified*")</f>
        <v/>
      </c>
      <c r="D39">
        <f>COUNTIF('Leads'!AA:AA,"conflict*")+COUNTIF('Leads'!AA:AA,"invalid*")</f>
        <v/>
      </c>
    </row>
    <row r="40">
      <c r="A40" t="inlineStr">
        <is>
          <t>E-mail check</t>
        </is>
      </c>
      <c r="B40">
        <f>COUNTIF('Leads'!AB:AB,"verified*")</f>
        <v/>
      </c>
      <c r="C40">
        <f>COUNTIF('Leads'!AB:AB,"unverified*")</f>
        <v/>
      </c>
      <c r="D40">
        <f>COUNTIF('Leads'!AB:AB,"conflict*")+COUNTIF('Leads'!AB:AB,"invalid*")</f>
        <v/>
      </c>
    </row>
    <row r="41">
      <c r="A41" t="inlineStr">
        <is>
          <t>Phone check</t>
        </is>
      </c>
      <c r="B41">
        <f>COUNTIF('Leads'!AC:AC,"verified*")</f>
        <v/>
      </c>
      <c r="C41">
        <f>COUNTIF('Leads'!AC:AC,"unverified*")</f>
        <v/>
      </c>
      <c r="D41">
        <f>COUNTIF('Leads'!AC:AC,"conflict*")+COUNTIF('Leads'!AC:AC,"invalid*")</f>
        <v/>
      </c>
    </row>
    <row r="42">
      <c r="A42" t="inlineStr">
        <is>
          <t>VAT number check</t>
        </is>
      </c>
      <c r="B42">
        <f>COUNTIF('Leads'!AD:AD,"verified*")</f>
        <v/>
      </c>
      <c r="C42">
        <f>COUNTIF('Leads'!AD:AD,"unverified*")</f>
        <v/>
      </c>
      <c r="D42">
        <f>COUNTIF('Leads'!AD:AD,"conflict*")+COUNTIF('Leads'!AD:AD,"invalid*")</f>
        <v/>
      </c>
    </row>
    <row r="44">
      <c r="A44" s="3" t="inlineStr">
        <is>
          <t>Sources</t>
        </is>
      </c>
    </row>
    <row r="45">
      <c r="A45" t="inlineStr">
        <is>
          <t>osm</t>
        </is>
      </c>
      <c r="B45">
        <f>COUNTIF('Leads'!AE:AE,"osm")</f>
        <v/>
      </c>
    </row>
    <row r="47">
      <c r="A47" s="3" t="inlineStr">
        <is>
          <t>Generated</t>
        </is>
      </c>
      <c r="B47" t="inlineStr">
        <is>
          <t>2026-09-08 08:53</t>
        </is>
      </c>
    </row>
    <row r="48">
      <c r="A48" s="3" t="inlineStr">
        <is>
          <t>Status legend</t>
        </is>
      </c>
    </row>
    <row r="49" ht="30" customHeight="1">
      <c r="A49" s="6" t="inlineStr">
        <is>
          <t>VERIFIED</t>
        </is>
      </c>
      <c r="B49" s="5" t="inlineStr">
        <is>
          <t>Required fields present; contact details confirmed by an independent check or a second source.</t>
        </is>
      </c>
    </row>
    <row r="50" ht="30" customHeight="1">
      <c r="A50" s="7" t="inlineStr">
        <is>
          <t>PARTIALLY VERIFIED</t>
        </is>
      </c>
      <c r="B50" s="5" t="inlineStr">
        <is>
          <t>At least one field confirmed; the rest is well-formed but single-source.</t>
        </is>
      </c>
    </row>
    <row r="51" ht="30" customHeight="1">
      <c r="A51" s="8" t="inlineStr">
        <is>
          <t>UNVERIFIED</t>
        </is>
      </c>
      <c r="B51" s="5" t="inlineStr">
        <is>
          <t>Well-formed data from one source; nothing could be cross-checked.</t>
        </is>
      </c>
    </row>
    <row r="52" ht="30" customHeight="1">
      <c r="A52" s="9" t="inlineStr">
        <is>
          <t>NEEDS REVIEW</t>
        </is>
      </c>
      <c r="B52" s="5" t="inlineStr">
        <is>
          <t>A check failed, sources disagree, a required field is missing or a duplicate is suspected - see Review flags.</t>
        </is>
      </c>
    </row>
  </sheetData>
  <mergeCells count="4">
    <mergeCell ref="B51:D51"/>
    <mergeCell ref="B52:D52"/>
    <mergeCell ref="B49:D49"/>
    <mergeCell ref="B50:D50"/>
  </mergeCells>
  <conditionalFormatting sqref="C5:C36">
    <cfRule type="dataBar" priority="1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AJ55"/>
  <sheetViews>
    <sheetView workbookViewId="0">
      <pane xSplit="2" ySplit="1" topLeftCell="C2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0" customWidth="1" min="3" max="3"/>
    <col width="16" customWidth="1" min="4" max="4"/>
    <col width="18" customWidth="1" min="5" max="5"/>
    <col width="24" customWidth="1" min="6" max="6"/>
    <col width="7" customWidth="1" min="7" max="7"/>
    <col width="10" customWidth="1" min="8" max="8"/>
    <col width="14" customWidth="1" min="9" max="9"/>
    <col width="12" customWidth="1" min="10" max="10"/>
    <col width="8" customWidth="1" min="11" max="11"/>
    <col width="18" customWidth="1" min="12" max="12"/>
    <col width="28" customWidth="1" min="13" max="13"/>
    <col width="32" customWidth="1" min="14" max="14"/>
    <col width="34" customWidth="1" min="15" max="15"/>
    <col width="30" customWidth="1" min="16" max="16"/>
    <col width="30" customWidth="1" min="17" max="17"/>
    <col width="16" customWidth="1" min="18" max="18"/>
    <col width="30" customWidth="1" min="19" max="19"/>
    <col width="40" customWidth="1" min="20" max="20"/>
    <col width="11" customWidth="1" min="21" max="21"/>
    <col width="11" customWidth="1" min="22" max="22"/>
    <col width="20" customWidth="1" min="23" max="23"/>
    <col width="55" customWidth="1" min="24" max="24"/>
    <col width="1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14" customWidth="1" min="31" max="31"/>
    <col width="40" customWidth="1" min="32" max="32"/>
    <col width="14" customWidth="1" min="33" max="33"/>
    <col width="20" customWidth="1" min="34" max="34"/>
    <col width="17" customWidth="1" min="35" max="35"/>
    <col width="30" customWidth="1" min="36" max="36"/>
  </cols>
  <sheetData>
    <row r="1" ht="30" customHeight="1">
      <c r="A1" s="10" t="inlineStr">
        <is>
          <t>Record ID</t>
        </is>
      </c>
      <c r="B1" s="10" t="inlineStr">
        <is>
          <t>Company name</t>
        </is>
      </c>
      <c r="C1" s="10" t="inlineStr">
        <is>
          <t>Legal entity name</t>
        </is>
      </c>
      <c r="D1" s="10" t="inlineStr">
        <is>
          <t>Category</t>
        </is>
      </c>
      <c r="E1" s="10" t="inlineStr">
        <is>
          <t>Subcategory</t>
        </is>
      </c>
      <c r="F1" s="10" t="inlineStr">
        <is>
          <t>Street</t>
        </is>
      </c>
      <c r="G1" s="10" t="inlineStr">
        <is>
          <t>No.</t>
        </is>
      </c>
      <c r="H1" s="10" t="inlineStr">
        <is>
          <t>Postcode</t>
        </is>
      </c>
      <c r="I1" s="10" t="inlineStr">
        <is>
          <t>City</t>
        </is>
      </c>
      <c r="J1" s="10" t="inlineStr">
        <is>
          <t>District</t>
        </is>
      </c>
      <c r="K1" s="10" t="inlineStr">
        <is>
          <t>Country</t>
        </is>
      </c>
      <c r="L1" s="10" t="inlineStr">
        <is>
          <t>Phone</t>
        </is>
      </c>
      <c r="M1" s="10" t="inlineStr">
        <is>
          <t>E-mail</t>
        </is>
      </c>
      <c r="N1" s="10" t="inlineStr">
        <is>
          <t>Website</t>
        </is>
      </c>
      <c r="O1" s="10" t="inlineStr">
        <is>
          <t>LinkedIn</t>
        </is>
      </c>
      <c r="P1" s="10" t="inlineStr">
        <is>
          <t>Facebook</t>
        </is>
      </c>
      <c r="Q1" s="10" t="inlineStr">
        <is>
          <t>Instagram</t>
        </is>
      </c>
      <c r="R1" s="10" t="inlineStr">
        <is>
          <t>VAT number</t>
        </is>
      </c>
      <c r="S1" s="10" t="inlineStr">
        <is>
          <t>Opening hours</t>
        </is>
      </c>
      <c r="T1" s="10" t="inlineStr">
        <is>
          <t>Description</t>
        </is>
      </c>
      <c r="U1" s="10" t="inlineStr">
        <is>
          <t>Latitude</t>
        </is>
      </c>
      <c r="V1" s="10" t="inlineStr">
        <is>
          <t>Longitude</t>
        </is>
      </c>
      <c r="W1" s="10" t="inlineStr">
        <is>
          <t>Verification status</t>
        </is>
      </c>
      <c r="X1" s="10" t="inlineStr">
        <is>
          <t>Review flags</t>
        </is>
      </c>
      <c r="Y1" s="10" t="inlineStr">
        <is>
          <t>Completeness %</t>
        </is>
      </c>
      <c r="Z1" s="10" t="inlineStr">
        <is>
          <t>Company name check</t>
        </is>
      </c>
      <c r="AA1" s="10" t="inlineStr">
        <is>
          <t>Website check</t>
        </is>
      </c>
      <c r="AB1" s="10" t="inlineStr">
        <is>
          <t>E-mail check</t>
        </is>
      </c>
      <c r="AC1" s="10" t="inlineStr">
        <is>
          <t>Phone check</t>
        </is>
      </c>
      <c r="AD1" s="10" t="inlineStr">
        <is>
          <t>VAT number check</t>
        </is>
      </c>
      <c r="AE1" s="10" t="inlineStr">
        <is>
          <t>Source</t>
        </is>
      </c>
      <c r="AF1" s="10" t="inlineStr">
        <is>
          <t>Source URL</t>
        </is>
      </c>
      <c r="AG1" s="10" t="inlineStr">
        <is>
          <t>Duplicate group</t>
        </is>
      </c>
      <c r="AH1" s="10" t="inlineStr">
        <is>
          <t>Extracted at (UTC)</t>
        </is>
      </c>
      <c r="AI1" s="10" t="inlineStr">
        <is>
          <t>Reviewer decision</t>
        </is>
      </c>
      <c r="AJ1" s="10" t="inlineStr">
        <is>
          <t>Reviewer notes</t>
        </is>
      </c>
    </row>
    <row r="2">
      <c r="A2" s="11" t="inlineStr">
        <is>
          <t>KOR-0001</t>
        </is>
      </c>
      <c r="B2" s="11" t="inlineStr">
        <is>
          <t>Alvaro</t>
        </is>
      </c>
      <c r="C2" s="11" t="n"/>
      <c r="D2" s="11" t="inlineStr">
        <is>
          <t>cafe</t>
        </is>
      </c>
      <c r="E2" s="11" t="inlineStr">
        <is>
          <t>coffee shop</t>
        </is>
      </c>
      <c r="F2" s="11" t="inlineStr">
        <is>
          <t>Zeger van Heulestraat</t>
        </is>
      </c>
      <c r="G2" s="11" t="inlineStr">
        <is>
          <t>64</t>
        </is>
      </c>
      <c r="H2" s="11" t="inlineStr">
        <is>
          <t>8501</t>
        </is>
      </c>
      <c r="I2" s="11" t="inlineStr">
        <is>
          <t>Kortrijk</t>
        </is>
      </c>
      <c r="J2" s="11" t="inlineStr">
        <is>
          <t>Heule</t>
        </is>
      </c>
      <c r="K2" s="11" t="inlineStr">
        <is>
          <t>BE</t>
        </is>
      </c>
      <c r="L2" s="11" t="inlineStr">
        <is>
          <t>+32 479 72 07 15</t>
        </is>
      </c>
      <c r="M2" s="11" t="n"/>
      <c r="N2" s="11" t="n"/>
      <c r="O2" s="11" t="n"/>
      <c r="P2" s="11" t="n"/>
      <c r="Q2" s="11" t="n"/>
      <c r="R2" s="11" t="n"/>
      <c r="S2" s="12" t="n"/>
      <c r="T2" s="12" t="n"/>
      <c r="U2" s="13" t="n">
        <v>50.844601</v>
      </c>
      <c r="V2" s="13" t="n">
        <v>3.23998</v>
      </c>
      <c r="W2" s="11" t="inlineStr">
        <is>
          <t>UNVERIFIED</t>
        </is>
      </c>
      <c r="X2" s="12" t="n"/>
      <c r="Y2" s="14" t="n">
        <v>60.9</v>
      </c>
      <c r="Z2" s="12" t="inlineStr">
        <is>
          <t>unverified</t>
        </is>
      </c>
      <c r="AA2" s="12" t="inlineStr">
        <is>
          <t>missing</t>
        </is>
      </c>
      <c r="AB2" s="12" t="inlineStr">
        <is>
          <t>missing</t>
        </is>
      </c>
      <c r="AC2" s="12" t="inlineStr">
        <is>
          <t>unverified - mobile number (BE)</t>
        </is>
      </c>
      <c r="AD2" s="12" t="inlineStr">
        <is>
          <t>missing</t>
        </is>
      </c>
      <c r="AE2" s="11" t="inlineStr">
        <is>
          <t>osm</t>
        </is>
      </c>
      <c r="AF2" s="15" t="inlineStr">
        <is>
          <t>https://www.openstreetmap.org/way/276532204</t>
        </is>
      </c>
      <c r="AG2" s="11" t="n"/>
      <c r="AH2" s="11" t="inlineStr">
        <is>
          <t>2026-09-08T08:53:56+00:00</t>
        </is>
      </c>
      <c r="AI2" s="11" t="n"/>
      <c r="AJ2" s="11" t="n"/>
    </row>
    <row r="3">
      <c r="A3" s="11" t="inlineStr">
        <is>
          <t>KOR-0003</t>
        </is>
      </c>
      <c r="B3" s="11" t="inlineStr">
        <is>
          <t>B'Hoven</t>
        </is>
      </c>
      <c r="C3" s="11" t="n"/>
      <c r="D3" s="11" t="inlineStr">
        <is>
          <t>restaurant</t>
        </is>
      </c>
      <c r="E3" s="11" t="inlineStr">
        <is>
          <t>fondue, grill</t>
        </is>
      </c>
      <c r="F3" s="11" t="n"/>
      <c r="G3" s="11" t="n"/>
      <c r="H3" s="11" t="n"/>
      <c r="I3" s="11" t="inlineStr">
        <is>
          <t>Kortrijk</t>
        </is>
      </c>
      <c r="J3" s="11" t="n"/>
      <c r="K3" s="11" t="inlineStr">
        <is>
          <t>BE</t>
        </is>
      </c>
      <c r="L3" s="11" t="n"/>
      <c r="M3" s="11" t="n"/>
      <c r="N3" s="15" t="inlineStr">
        <is>
          <t>https://www.fonduehuisbeethoven.be/</t>
        </is>
      </c>
      <c r="O3" s="11" t="n"/>
      <c r="P3" s="11" t="n"/>
      <c r="Q3" s="11" t="n"/>
      <c r="R3" s="11" t="n"/>
      <c r="S3" s="12" t="n"/>
      <c r="T3" s="12" t="n"/>
      <c r="U3" s="13" t="n">
        <v>50.829312</v>
      </c>
      <c r="V3" s="13" t="n">
        <v>3.266904</v>
      </c>
      <c r="W3" s="11" t="inlineStr">
        <is>
          <t>UNVERIFIED</t>
        </is>
      </c>
      <c r="X3" s="12" t="n"/>
      <c r="Y3" s="14" t="n">
        <v>43.5</v>
      </c>
      <c r="Z3" s="12" t="inlineStr">
        <is>
          <t>unverified</t>
        </is>
      </c>
      <c r="AA3" s="12" t="inlineStr">
        <is>
          <t>unverified</t>
        </is>
      </c>
      <c r="AB3" s="12" t="inlineStr">
        <is>
          <t>missing</t>
        </is>
      </c>
      <c r="AC3" s="12" t="inlineStr">
        <is>
          <t>missing</t>
        </is>
      </c>
      <c r="AD3" s="12" t="inlineStr">
        <is>
          <t>missing</t>
        </is>
      </c>
      <c r="AE3" s="11" t="inlineStr">
        <is>
          <t>osm</t>
        </is>
      </c>
      <c r="AF3" s="15" t="inlineStr">
        <is>
          <t>https://www.openstreetmap.org/node/4598117448</t>
        </is>
      </c>
      <c r="AG3" s="11" t="n"/>
      <c r="AH3" s="11" t="inlineStr">
        <is>
          <t>2026-09-08T08:53:56+00:00</t>
        </is>
      </c>
      <c r="AI3" s="11" t="n"/>
      <c r="AJ3" s="11" t="n"/>
    </row>
    <row r="4">
      <c r="A4" s="11" t="inlineStr">
        <is>
          <t>KOR-0004</t>
        </is>
      </c>
      <c r="B4" s="11" t="inlineStr">
        <is>
          <t>Basta!</t>
        </is>
      </c>
      <c r="C4" s="11" t="n"/>
      <c r="D4" s="11" t="inlineStr">
        <is>
          <t>restaurant</t>
        </is>
      </c>
      <c r="E4" s="11" t="inlineStr">
        <is>
          <t>mediterranean</t>
        </is>
      </c>
      <c r="F4" s="11" t="inlineStr">
        <is>
          <t>Havermarkt</t>
        </is>
      </c>
      <c r="G4" s="11" t="inlineStr">
        <is>
          <t>3</t>
        </is>
      </c>
      <c r="H4" s="11" t="inlineStr">
        <is>
          <t>8500</t>
        </is>
      </c>
      <c r="I4" s="11" t="inlineStr">
        <is>
          <t>Kortrijk</t>
        </is>
      </c>
      <c r="J4" s="11" t="n"/>
      <c r="K4" s="11" t="inlineStr">
        <is>
          <t>BE</t>
        </is>
      </c>
      <c r="L4" s="11" t="inlineStr">
        <is>
          <t>+32 56 49 37 49</t>
        </is>
      </c>
      <c r="M4" s="15" t="inlineStr">
        <is>
          <t>info@bastakortrijk.be</t>
        </is>
      </c>
      <c r="N4" s="15" t="inlineStr">
        <is>
          <t>https://www.bastakortrijk.be/</t>
        </is>
      </c>
      <c r="O4" s="11" t="n"/>
      <c r="P4" s="15" t="inlineStr">
        <is>
          <t>https://www.facebook.com/bastakortrijk</t>
        </is>
      </c>
      <c r="Q4" s="15" t="inlineStr">
        <is>
          <t>https://www.instagram.com/bastakortrijk</t>
        </is>
      </c>
      <c r="R4" s="11" t="n"/>
      <c r="S4" s="12" t="inlineStr">
        <is>
          <t>Mo 11:30-14:00; Tu-Th 11:30-14:00,18:00-21:00; Fr 11:30-14:00,18:00-22:00; Sa off; Su 18:00-21:00</t>
        </is>
      </c>
      <c r="T4" s="12" t="n"/>
      <c r="U4" s="13" t="n">
        <v>50.825947</v>
      </c>
      <c r="V4" s="13" t="n">
        <v>3.264579</v>
      </c>
      <c r="W4" s="11" t="inlineStr">
        <is>
          <t>UNVERIFIED</t>
        </is>
      </c>
      <c r="X4" s="12" t="n"/>
      <c r="Y4" s="14" t="n">
        <v>78.3</v>
      </c>
      <c r="Z4" s="12" t="inlineStr">
        <is>
          <t>unverified</t>
        </is>
      </c>
      <c r="AA4" s="12" t="inlineStr">
        <is>
          <t>unverified</t>
        </is>
      </c>
      <c r="AB4" s="12" t="inlineStr">
        <is>
          <t>unverified</t>
        </is>
      </c>
      <c r="AC4" s="12" t="inlineStr">
        <is>
          <t>unverified - fixed number (BE)</t>
        </is>
      </c>
      <c r="AD4" s="12" t="inlineStr">
        <is>
          <t>missing</t>
        </is>
      </c>
      <c r="AE4" s="11" t="inlineStr">
        <is>
          <t>osm</t>
        </is>
      </c>
      <c r="AF4" s="15" t="inlineStr">
        <is>
          <t>https://www.openstreetmap.org/node/9977230081</t>
        </is>
      </c>
      <c r="AG4" s="11" t="n"/>
      <c r="AH4" s="11" t="inlineStr">
        <is>
          <t>2026-09-08T08:53:56+00:00</t>
        </is>
      </c>
      <c r="AI4" s="11" t="n"/>
      <c r="AJ4" s="11" t="n"/>
    </row>
    <row r="5">
      <c r="A5" s="11" t="inlineStr">
        <is>
          <t>KOR-0005</t>
        </is>
      </c>
      <c r="B5" s="11" t="inlineStr">
        <is>
          <t>Bavet</t>
        </is>
      </c>
      <c r="C5" s="11" t="n"/>
      <c r="D5" s="11" t="inlineStr">
        <is>
          <t>restaurant</t>
        </is>
      </c>
      <c r="E5" s="11" t="inlineStr">
        <is>
          <t>pasta</t>
        </is>
      </c>
      <c r="F5" s="11" t="inlineStr">
        <is>
          <t>Stationsstraat</t>
        </is>
      </c>
      <c r="G5" s="11" t="inlineStr">
        <is>
          <t>1</t>
        </is>
      </c>
      <c r="H5" s="11" t="inlineStr">
        <is>
          <t>8500</t>
        </is>
      </c>
      <c r="I5" s="11" t="inlineStr">
        <is>
          <t>Kortrijk</t>
        </is>
      </c>
      <c r="J5" s="11" t="n"/>
      <c r="K5" s="11" t="inlineStr">
        <is>
          <t>BE</t>
        </is>
      </c>
      <c r="L5" s="11" t="n"/>
      <c r="M5" s="11" t="n"/>
      <c r="N5" s="15" t="inlineStr">
        <is>
          <t>https://bavet.eu/</t>
        </is>
      </c>
      <c r="O5" s="11" t="n"/>
      <c r="P5" s="11" t="n"/>
      <c r="Q5" s="11" t="n"/>
      <c r="R5" s="11" t="n"/>
      <c r="S5" s="12" t="inlineStr">
        <is>
          <t>Mo-Su 11:30-14:00,17:30-21:30</t>
        </is>
      </c>
      <c r="T5" s="12" t="n"/>
      <c r="U5" s="13" t="n">
        <v>50.826014</v>
      </c>
      <c r="V5" s="13" t="n">
        <v>3.264402</v>
      </c>
      <c r="W5" s="11" t="inlineStr">
        <is>
          <t>UNVERIFIED</t>
        </is>
      </c>
      <c r="X5" s="12" t="n"/>
      <c r="Y5" s="14" t="n">
        <v>60.9</v>
      </c>
      <c r="Z5" s="12" t="inlineStr">
        <is>
          <t>unverified</t>
        </is>
      </c>
      <c r="AA5" s="12" t="inlineStr">
        <is>
          <t>unverified</t>
        </is>
      </c>
      <c r="AB5" s="12" t="inlineStr">
        <is>
          <t>missing</t>
        </is>
      </c>
      <c r="AC5" s="12" t="inlineStr">
        <is>
          <t>missing</t>
        </is>
      </c>
      <c r="AD5" s="12" t="inlineStr">
        <is>
          <t>missing</t>
        </is>
      </c>
      <c r="AE5" s="11" t="inlineStr">
        <is>
          <t>osm</t>
        </is>
      </c>
      <c r="AF5" s="15" t="inlineStr">
        <is>
          <t>https://www.openstreetmap.org/node/2185620651</t>
        </is>
      </c>
      <c r="AG5" s="11" t="n"/>
      <c r="AH5" s="11" t="inlineStr">
        <is>
          <t>2026-09-08T08:53:56+00:00</t>
        </is>
      </c>
      <c r="AI5" s="11" t="n"/>
      <c r="AJ5" s="11" t="n"/>
    </row>
    <row r="6">
      <c r="A6" s="11" t="inlineStr">
        <is>
          <t>KOR-0006</t>
        </is>
      </c>
      <c r="B6" s="11" t="inlineStr">
        <is>
          <t>Bellegems Friethuisje</t>
        </is>
      </c>
      <c r="C6" s="11" t="n"/>
      <c r="D6" s="11" t="inlineStr">
        <is>
          <t>restaurant</t>
        </is>
      </c>
      <c r="E6" s="11" t="inlineStr">
        <is>
          <t>friture</t>
        </is>
      </c>
      <c r="F6" s="11" t="inlineStr">
        <is>
          <t>Doornikserijksweg</t>
        </is>
      </c>
      <c r="G6" s="11" t="inlineStr">
        <is>
          <t>134</t>
        </is>
      </c>
      <c r="H6" s="11" t="inlineStr">
        <is>
          <t>8510</t>
        </is>
      </c>
      <c r="I6" s="11" t="inlineStr">
        <is>
          <t>Kortrijk</t>
        </is>
      </c>
      <c r="J6" s="11" t="inlineStr">
        <is>
          <t>Bellegem</t>
        </is>
      </c>
      <c r="K6" s="11" t="inlineStr">
        <is>
          <t>BE</t>
        </is>
      </c>
      <c r="L6" s="11" t="inlineStr">
        <is>
          <t>+32 56 22 99 95</t>
        </is>
      </c>
      <c r="M6" s="15" t="inlineStr">
        <is>
          <t>belfriet@gmail.com</t>
        </is>
      </c>
      <c r="N6" s="15" t="inlineStr">
        <is>
          <t>https://bellegemsfriethuisje.be/</t>
        </is>
      </c>
      <c r="O6" s="11" t="n"/>
      <c r="P6" s="15" t="inlineStr">
        <is>
          <t>https://www.facebook.com/Bellegems-Friethuisje-135629569911957</t>
        </is>
      </c>
      <c r="Q6" s="11" t="n"/>
      <c r="R6" s="11" t="n"/>
      <c r="S6" s="12" t="inlineStr">
        <is>
          <t>Mo-Th 11:00-14:30,17:00-22:00; Fr 11:00-14:30,17:00-23:00; Sa 11:00-23:00; Su 11:00-22:00</t>
        </is>
      </c>
      <c r="T6" s="12" t="n"/>
      <c r="U6" s="13" t="n">
        <v>50.777608</v>
      </c>
      <c r="V6" s="13" t="n">
        <v>3.304025</v>
      </c>
      <c r="W6" s="11" t="inlineStr">
        <is>
          <t>UNVERIFIED</t>
        </is>
      </c>
      <c r="X6" s="12" t="n"/>
      <c r="Y6" s="14" t="n">
        <v>78.3</v>
      </c>
      <c r="Z6" s="12" t="inlineStr">
        <is>
          <t>unverified</t>
        </is>
      </c>
      <c r="AA6" s="12" t="inlineStr">
        <is>
          <t>unverified</t>
        </is>
      </c>
      <c r="AB6" s="12" t="inlineStr">
        <is>
          <t>unverified</t>
        </is>
      </c>
      <c r="AC6" s="12" t="inlineStr">
        <is>
          <t>unverified - fixed number (BE)</t>
        </is>
      </c>
      <c r="AD6" s="12" t="inlineStr">
        <is>
          <t>missing</t>
        </is>
      </c>
      <c r="AE6" s="11" t="inlineStr">
        <is>
          <t>osm</t>
        </is>
      </c>
      <c r="AF6" s="15" t="inlineStr">
        <is>
          <t>https://www.openstreetmap.org/way/966031881</t>
        </is>
      </c>
      <c r="AG6" s="11" t="n"/>
      <c r="AH6" s="11" t="inlineStr">
        <is>
          <t>2026-09-08T08:53:56+00:00</t>
        </is>
      </c>
      <c r="AI6" s="11" t="n"/>
      <c r="AJ6" s="11" t="n"/>
    </row>
    <row r="7">
      <c r="A7" s="11" t="inlineStr">
        <is>
          <t>KOR-0007</t>
        </is>
      </c>
      <c r="B7" s="11" t="inlineStr">
        <is>
          <t>beudaert</t>
        </is>
      </c>
      <c r="C7" s="11" t="n"/>
      <c r="D7" s="11" t="inlineStr">
        <is>
          <t>restaurant</t>
        </is>
      </c>
      <c r="E7" s="11" t="n"/>
      <c r="F7" s="11" t="inlineStr">
        <is>
          <t>Sint-Maartenskerkhof</t>
        </is>
      </c>
      <c r="G7" s="11" t="inlineStr">
        <is>
          <t>8</t>
        </is>
      </c>
      <c r="H7" s="11" t="inlineStr">
        <is>
          <t>8500</t>
        </is>
      </c>
      <c r="I7" s="11" t="inlineStr">
        <is>
          <t>Kortrijk</t>
        </is>
      </c>
      <c r="J7" s="11" t="n"/>
      <c r="K7" s="11" t="inlineStr">
        <is>
          <t>BE</t>
        </is>
      </c>
      <c r="L7" s="11" t="n"/>
      <c r="M7" s="11" t="n"/>
      <c r="N7" s="15" t="inlineStr">
        <is>
          <t>https://www.beudaert.be/</t>
        </is>
      </c>
      <c r="O7" s="11" t="n"/>
      <c r="P7" s="11" t="n"/>
      <c r="Q7" s="11" t="n"/>
      <c r="R7" s="11" t="n"/>
      <c r="S7" s="12" t="n"/>
      <c r="T7" s="12" t="n"/>
      <c r="U7" s="13" t="n">
        <v>50.827933</v>
      </c>
      <c r="V7" s="13" t="n">
        <v>3.268166</v>
      </c>
      <c r="W7" s="11" t="inlineStr">
        <is>
          <t>UNVERIFIED</t>
        </is>
      </c>
      <c r="X7" s="12" t="n"/>
      <c r="Y7" s="14" t="n">
        <v>52.2</v>
      </c>
      <c r="Z7" s="12" t="inlineStr">
        <is>
          <t>unverified</t>
        </is>
      </c>
      <c r="AA7" s="12" t="inlineStr">
        <is>
          <t>unverified</t>
        </is>
      </c>
      <c r="AB7" s="12" t="inlineStr">
        <is>
          <t>missing</t>
        </is>
      </c>
      <c r="AC7" s="12" t="inlineStr">
        <is>
          <t>missing</t>
        </is>
      </c>
      <c r="AD7" s="12" t="inlineStr">
        <is>
          <t>missing</t>
        </is>
      </c>
      <c r="AE7" s="11" t="inlineStr">
        <is>
          <t>osm</t>
        </is>
      </c>
      <c r="AF7" s="15" t="inlineStr">
        <is>
          <t>https://www.openstreetmap.org/node/4634140692</t>
        </is>
      </c>
      <c r="AG7" s="11" t="n"/>
      <c r="AH7" s="11" t="inlineStr">
        <is>
          <t>2026-09-08T08:53:56+00:00</t>
        </is>
      </c>
      <c r="AI7" s="11" t="n"/>
      <c r="AJ7" s="11" t="n"/>
    </row>
    <row r="8">
      <c r="A8" s="11" t="inlineStr">
        <is>
          <t>KOR-0009</t>
        </is>
      </c>
      <c r="B8" s="11" t="inlineStr">
        <is>
          <t>Bistro Au Casino</t>
        </is>
      </c>
      <c r="C8" s="11" t="n"/>
      <c r="D8" s="11" t="inlineStr">
        <is>
          <t>restaurant</t>
        </is>
      </c>
      <c r="E8" s="11" t="n"/>
      <c r="F8" s="11" t="inlineStr">
        <is>
          <t>Doorniksewijk</t>
        </is>
      </c>
      <c r="G8" s="11" t="inlineStr">
        <is>
          <t>31</t>
        </is>
      </c>
      <c r="H8" s="11" t="n"/>
      <c r="I8" s="11" t="inlineStr">
        <is>
          <t>Kortrijk</t>
        </is>
      </c>
      <c r="J8" s="11" t="n"/>
      <c r="K8" s="11" t="inlineStr">
        <is>
          <t>BE</t>
        </is>
      </c>
      <c r="L8" s="11" t="inlineStr">
        <is>
          <t>+32 56 22 84 99</t>
        </is>
      </c>
      <c r="M8" s="15" t="inlineStr">
        <is>
          <t>bistroaucasino@gmail.com</t>
        </is>
      </c>
      <c r="N8" s="11" t="n"/>
      <c r="O8" s="11" t="n"/>
      <c r="P8" s="11" t="n"/>
      <c r="Q8" s="11" t="n"/>
      <c r="R8" s="11" t="n"/>
      <c r="S8" s="12" t="n"/>
      <c r="T8" s="12" t="n"/>
      <c r="U8" s="13" t="n">
        <v>50.82201</v>
      </c>
      <c r="V8" s="13" t="n">
        <v>3.268851</v>
      </c>
      <c r="W8" s="11" t="inlineStr">
        <is>
          <t>UNVERIFIED</t>
        </is>
      </c>
      <c r="X8" s="12" t="n"/>
      <c r="Y8" s="14" t="n">
        <v>52.2</v>
      </c>
      <c r="Z8" s="12" t="inlineStr">
        <is>
          <t>unverified</t>
        </is>
      </c>
      <c r="AA8" s="12" t="inlineStr">
        <is>
          <t>missing</t>
        </is>
      </c>
      <c r="AB8" s="12" t="inlineStr">
        <is>
          <t>unverified</t>
        </is>
      </c>
      <c r="AC8" s="12" t="inlineStr">
        <is>
          <t>unverified - fixed number (BE)</t>
        </is>
      </c>
      <c r="AD8" s="12" t="inlineStr">
        <is>
          <t>missing</t>
        </is>
      </c>
      <c r="AE8" s="11" t="inlineStr">
        <is>
          <t>osm</t>
        </is>
      </c>
      <c r="AF8" s="15" t="inlineStr">
        <is>
          <t>https://www.openstreetmap.org/node/11854695616</t>
        </is>
      </c>
      <c r="AG8" s="11" t="n"/>
      <c r="AH8" s="11" t="inlineStr">
        <is>
          <t>2026-09-08T08:53:56+00:00</t>
        </is>
      </c>
      <c r="AI8" s="11" t="n"/>
      <c r="AJ8" s="11" t="n"/>
    </row>
    <row r="9">
      <c r="A9" s="11" t="inlineStr">
        <is>
          <t>KOR-0012</t>
        </is>
      </c>
      <c r="B9" s="11" t="inlineStr">
        <is>
          <t>Blauwe Hoeve</t>
        </is>
      </c>
      <c r="C9" s="11" t="n"/>
      <c r="D9" s="11" t="inlineStr">
        <is>
          <t>restaurant</t>
        </is>
      </c>
      <c r="E9" s="11" t="n"/>
      <c r="F9" s="11" t="inlineStr">
        <is>
          <t>Doorniksesteenweg</t>
        </is>
      </c>
      <c r="G9" s="11" t="inlineStr">
        <is>
          <t>15</t>
        </is>
      </c>
      <c r="H9" s="11" t="inlineStr">
        <is>
          <t>8500</t>
        </is>
      </c>
      <c r="I9" s="11" t="inlineStr">
        <is>
          <t>Kortrijk</t>
        </is>
      </c>
      <c r="J9" s="11" t="n"/>
      <c r="K9" s="11" t="inlineStr">
        <is>
          <t>BE</t>
        </is>
      </c>
      <c r="L9" s="11" t="n"/>
      <c r="M9" s="11" t="n"/>
      <c r="N9" s="11" t="n"/>
      <c r="O9" s="11" t="n"/>
      <c r="P9" s="11" t="n"/>
      <c r="Q9" s="11" t="n"/>
      <c r="R9" s="11" t="n"/>
      <c r="S9" s="12" t="n"/>
      <c r="T9" s="12" t="n"/>
      <c r="U9" s="13" t="n">
        <v>50.81668</v>
      </c>
      <c r="V9" s="13" t="n">
        <v>3.271593</v>
      </c>
      <c r="W9" s="11" t="inlineStr">
        <is>
          <t>UNVERIFIED</t>
        </is>
      </c>
      <c r="X9" s="12" t="n"/>
      <c r="Y9" s="14" t="n">
        <v>47.8</v>
      </c>
      <c r="Z9" s="12" t="inlineStr">
        <is>
          <t>unverified</t>
        </is>
      </c>
      <c r="AA9" s="12" t="inlineStr">
        <is>
          <t>missing</t>
        </is>
      </c>
      <c r="AB9" s="12" t="inlineStr">
        <is>
          <t>missing</t>
        </is>
      </c>
      <c r="AC9" s="12" t="inlineStr">
        <is>
          <t>missing</t>
        </is>
      </c>
      <c r="AD9" s="12" t="inlineStr">
        <is>
          <t>missing</t>
        </is>
      </c>
      <c r="AE9" s="11" t="inlineStr">
        <is>
          <t>osm</t>
        </is>
      </c>
      <c r="AF9" s="15" t="inlineStr">
        <is>
          <t>https://www.openstreetmap.org/way/562503124</t>
        </is>
      </c>
      <c r="AG9" s="11" t="n"/>
      <c r="AH9" s="11" t="inlineStr">
        <is>
          <t>2026-09-08T08:53:56+00:00</t>
        </is>
      </c>
      <c r="AI9" s="11" t="n"/>
      <c r="AJ9" s="11" t="n"/>
    </row>
    <row r="10">
      <c r="A10" s="11" t="inlineStr">
        <is>
          <t>KOR-0013</t>
        </is>
      </c>
      <c r="B10" s="11" t="inlineStr">
        <is>
          <t>Bocca</t>
        </is>
      </c>
      <c r="C10" s="11" t="n"/>
      <c r="D10" s="11" t="inlineStr">
        <is>
          <t>restaurant</t>
        </is>
      </c>
      <c r="E10" s="11" t="inlineStr">
        <is>
          <t>pasta</t>
        </is>
      </c>
      <c r="F10" s="11" t="inlineStr">
        <is>
          <t>Leiestraat</t>
        </is>
      </c>
      <c r="G10" s="11" t="inlineStr">
        <is>
          <t>2</t>
        </is>
      </c>
      <c r="H10" s="11" t="inlineStr">
        <is>
          <t>8500</t>
        </is>
      </c>
      <c r="I10" s="11" t="inlineStr">
        <is>
          <t>Kortrijk</t>
        </is>
      </c>
      <c r="J10" s="11" t="n"/>
      <c r="K10" s="11" t="inlineStr">
        <is>
          <t>BE</t>
        </is>
      </c>
      <c r="L10" s="11" t="inlineStr">
        <is>
          <t>+32 56 52 02 70</t>
        </is>
      </c>
      <c r="M10" s="11" t="n"/>
      <c r="N10" s="15" t="inlineStr">
        <is>
          <t>http://www.bocca.be/locations/kortrijk.html</t>
        </is>
      </c>
      <c r="O10" s="11" t="n"/>
      <c r="P10" s="11" t="n"/>
      <c r="Q10" s="11" t="n"/>
      <c r="R10" s="11" t="n"/>
      <c r="S10" s="12" t="n"/>
      <c r="T10" s="12" t="n"/>
      <c r="U10" s="13" t="n">
        <v>50.828162</v>
      </c>
      <c r="V10" s="13" t="n">
        <v>3.265315</v>
      </c>
      <c r="W10" s="11" t="inlineStr">
        <is>
          <t>UNVERIFIED</t>
        </is>
      </c>
      <c r="X10" s="12" t="n"/>
      <c r="Y10" s="14" t="n">
        <v>60.9</v>
      </c>
      <c r="Z10" s="12" t="inlineStr">
        <is>
          <t>unverified</t>
        </is>
      </c>
      <c r="AA10" s="12" t="inlineStr">
        <is>
          <t>unverified</t>
        </is>
      </c>
      <c r="AB10" s="12" t="inlineStr">
        <is>
          <t>missing</t>
        </is>
      </c>
      <c r="AC10" s="12" t="inlineStr">
        <is>
          <t>unverified - fixed number (BE)</t>
        </is>
      </c>
      <c r="AD10" s="12" t="inlineStr">
        <is>
          <t>missing</t>
        </is>
      </c>
      <c r="AE10" s="11" t="inlineStr">
        <is>
          <t>osm</t>
        </is>
      </c>
      <c r="AF10" s="15" t="inlineStr">
        <is>
          <t>https://www.openstreetmap.org/node/3855298771</t>
        </is>
      </c>
      <c r="AG10" s="11" t="n"/>
      <c r="AH10" s="11" t="inlineStr">
        <is>
          <t>2026-09-08T08:53:56+00:00</t>
        </is>
      </c>
      <c r="AI10" s="11" t="n"/>
      <c r="AJ10" s="11" t="n"/>
    </row>
    <row r="11">
      <c r="A11" s="11" t="inlineStr">
        <is>
          <t>KOR-0014</t>
        </is>
      </c>
      <c r="B11" s="11" t="inlineStr">
        <is>
          <t>Bowls Asian Cuisine</t>
        </is>
      </c>
      <c r="C11" s="11" t="n"/>
      <c r="D11" s="11" t="inlineStr">
        <is>
          <t>restaurant</t>
        </is>
      </c>
      <c r="E11" s="11" t="inlineStr">
        <is>
          <t>asian</t>
        </is>
      </c>
      <c r="F11" s="11" t="inlineStr">
        <is>
          <t>Dolfijnkaai</t>
        </is>
      </c>
      <c r="G11" s="11" t="inlineStr">
        <is>
          <t>12</t>
        </is>
      </c>
      <c r="H11" s="11" t="inlineStr">
        <is>
          <t>8500</t>
        </is>
      </c>
      <c r="I11" s="11" t="inlineStr">
        <is>
          <t>Kortrijk</t>
        </is>
      </c>
      <c r="J11" s="11" t="n"/>
      <c r="K11" s="11" t="inlineStr">
        <is>
          <t>BE</t>
        </is>
      </c>
      <c r="L11" s="11" t="inlineStr">
        <is>
          <t>+32 56 19 81 99</t>
        </is>
      </c>
      <c r="M11" s="15" t="inlineStr">
        <is>
          <t>eat@bowls-kortrijk.be</t>
        </is>
      </c>
      <c r="N11" s="15" t="inlineStr">
        <is>
          <t>https://www.bowls-kortrijk.be/</t>
        </is>
      </c>
      <c r="O11" s="11" t="n"/>
      <c r="P11" s="11" t="n"/>
      <c r="Q11" s="11" t="n"/>
      <c r="R11" s="11" t="n"/>
      <c r="S11" s="12" t="inlineStr">
        <is>
          <t>Mo-Tu,Fr 11:30-14:00,18:00-22:00; Sa 18:00-22:00; Su 11:30-14:00,18:00-21:00</t>
        </is>
      </c>
      <c r="T11" s="12" t="n"/>
      <c r="U11" s="13" t="n">
        <v>50.829304</v>
      </c>
      <c r="V11" s="13" t="n">
        <v>3.263221</v>
      </c>
      <c r="W11" s="11" t="inlineStr">
        <is>
          <t>UNVERIFIED</t>
        </is>
      </c>
      <c r="X11" s="12" t="n"/>
      <c r="Y11" s="14" t="n">
        <v>69.59999999999999</v>
      </c>
      <c r="Z11" s="12" t="inlineStr">
        <is>
          <t>unverified</t>
        </is>
      </c>
      <c r="AA11" s="12" t="inlineStr">
        <is>
          <t>unverified</t>
        </is>
      </c>
      <c r="AB11" s="12" t="inlineStr">
        <is>
          <t>unverified</t>
        </is>
      </c>
      <c r="AC11" s="12" t="inlineStr">
        <is>
          <t>unverified - fixed number (BE)</t>
        </is>
      </c>
      <c r="AD11" s="12" t="inlineStr">
        <is>
          <t>missing</t>
        </is>
      </c>
      <c r="AE11" s="11" t="inlineStr">
        <is>
          <t>osm</t>
        </is>
      </c>
      <c r="AF11" s="15" t="inlineStr">
        <is>
          <t>https://www.openstreetmap.org/node/8326315864</t>
        </is>
      </c>
      <c r="AG11" s="11" t="n"/>
      <c r="AH11" s="11" t="inlineStr">
        <is>
          <t>2026-09-08T08:53:56+00:00</t>
        </is>
      </c>
      <c r="AI11" s="11" t="n"/>
      <c r="AJ11" s="11" t="n"/>
    </row>
    <row r="12">
      <c r="A12" s="11" t="inlineStr">
        <is>
          <t>KOR-0015</t>
        </is>
      </c>
      <c r="B12" s="11" t="inlineStr">
        <is>
          <t>Café Leffe</t>
        </is>
      </c>
      <c r="C12" s="11" t="n"/>
      <c r="D12" s="11" t="inlineStr">
        <is>
          <t>restaurant</t>
        </is>
      </c>
      <c r="E12" s="11" t="n"/>
      <c r="F12" s="11" t="inlineStr">
        <is>
          <t>Grote Markt</t>
        </is>
      </c>
      <c r="G12" s="11" t="inlineStr">
        <is>
          <t>3</t>
        </is>
      </c>
      <c r="H12" s="11" t="inlineStr">
        <is>
          <t>8500</t>
        </is>
      </c>
      <c r="I12" s="11" t="inlineStr">
        <is>
          <t>Kortrijk</t>
        </is>
      </c>
      <c r="J12" s="11" t="n"/>
      <c r="K12" s="11" t="inlineStr">
        <is>
          <t>BE</t>
        </is>
      </c>
      <c r="L12" s="11" t="n"/>
      <c r="M12" s="11" t="n"/>
      <c r="N12" s="15" t="inlineStr">
        <is>
          <t>https://www.cafe-leffe-kortrijk.be/</t>
        </is>
      </c>
      <c r="O12" s="11" t="n"/>
      <c r="P12" s="11" t="n"/>
      <c r="Q12" s="11" t="n"/>
      <c r="R12" s="11" t="n"/>
      <c r="S12" s="12" t="n"/>
      <c r="T12" s="12" t="n"/>
      <c r="U12" s="13" t="n">
        <v>50.828004</v>
      </c>
      <c r="V12" s="13" t="n">
        <v>3.265751</v>
      </c>
      <c r="W12" s="11" t="inlineStr">
        <is>
          <t>UNVERIFIED</t>
        </is>
      </c>
      <c r="X12" s="12" t="n"/>
      <c r="Y12" s="14" t="n">
        <v>52.2</v>
      </c>
      <c r="Z12" s="12" t="inlineStr">
        <is>
          <t>unverified</t>
        </is>
      </c>
      <c r="AA12" s="12" t="inlineStr">
        <is>
          <t>unverified</t>
        </is>
      </c>
      <c r="AB12" s="12" t="inlineStr">
        <is>
          <t>missing</t>
        </is>
      </c>
      <c r="AC12" s="12" t="inlineStr">
        <is>
          <t>missing</t>
        </is>
      </c>
      <c r="AD12" s="12" t="inlineStr">
        <is>
          <t>missing</t>
        </is>
      </c>
      <c r="AE12" s="11" t="inlineStr">
        <is>
          <t>osm</t>
        </is>
      </c>
      <c r="AF12" s="15" t="inlineStr">
        <is>
          <t>https://www.openstreetmap.org/node/3855377534</t>
        </is>
      </c>
      <c r="AG12" s="11" t="n"/>
      <c r="AH12" s="11" t="inlineStr">
        <is>
          <t>2026-09-08T08:53:56+00:00</t>
        </is>
      </c>
      <c r="AI12" s="11" t="n"/>
      <c r="AJ12" s="11" t="n"/>
    </row>
    <row r="13">
      <c r="A13" s="11" t="inlineStr">
        <is>
          <t>KOR-0016</t>
        </is>
      </c>
      <c r="B13" s="11" t="inlineStr">
        <is>
          <t>Chapeluur</t>
        </is>
      </c>
      <c r="C13" s="11" t="n"/>
      <c r="D13" s="11" t="inlineStr">
        <is>
          <t>restaurant</t>
        </is>
      </c>
      <c r="E13" s="11" t="n"/>
      <c r="F13" s="11" t="inlineStr">
        <is>
          <t>Grote Markt</t>
        </is>
      </c>
      <c r="G13" s="11" t="inlineStr">
        <is>
          <t>1</t>
        </is>
      </c>
      <c r="H13" s="11" t="inlineStr">
        <is>
          <t>8500</t>
        </is>
      </c>
      <c r="I13" s="11" t="inlineStr">
        <is>
          <t>Kortrijk</t>
        </is>
      </c>
      <c r="J13" s="11" t="n"/>
      <c r="K13" s="11" t="inlineStr">
        <is>
          <t>BE</t>
        </is>
      </c>
      <c r="L13" s="11" t="n"/>
      <c r="M13" s="11" t="n"/>
      <c r="N13" s="15" t="inlineStr">
        <is>
          <t>https://chapeluur.eu/</t>
        </is>
      </c>
      <c r="O13" s="11" t="n"/>
      <c r="P13" s="11" t="n"/>
      <c r="Q13" s="11" t="n"/>
      <c r="R13" s="11" t="n"/>
      <c r="S13" s="12" t="n"/>
      <c r="T13" s="12" t="n"/>
      <c r="U13" s="13" t="n">
        <v>50.82809</v>
      </c>
      <c r="V13" s="13" t="n">
        <v>3.265653</v>
      </c>
      <c r="W13" s="11" t="inlineStr">
        <is>
          <t>UNVERIFIED</t>
        </is>
      </c>
      <c r="X13" s="12" t="n"/>
      <c r="Y13" s="14" t="n">
        <v>52.2</v>
      </c>
      <c r="Z13" s="12" t="inlineStr">
        <is>
          <t>unverified</t>
        </is>
      </c>
      <c r="AA13" s="12" t="inlineStr">
        <is>
          <t>unverified</t>
        </is>
      </c>
      <c r="AB13" s="12" t="inlineStr">
        <is>
          <t>missing</t>
        </is>
      </c>
      <c r="AC13" s="12" t="inlineStr">
        <is>
          <t>missing</t>
        </is>
      </c>
      <c r="AD13" s="12" t="inlineStr">
        <is>
          <t>missing</t>
        </is>
      </c>
      <c r="AE13" s="11" t="inlineStr">
        <is>
          <t>osm</t>
        </is>
      </c>
      <c r="AF13" s="15" t="inlineStr">
        <is>
          <t>https://www.openstreetmap.org/node/3855371092</t>
        </is>
      </c>
      <c r="AG13" s="11" t="n"/>
      <c r="AH13" s="11" t="inlineStr">
        <is>
          <t>2026-09-08T08:53:56+00:00</t>
        </is>
      </c>
      <c r="AI13" s="11" t="n"/>
      <c r="AJ13" s="11" t="n"/>
    </row>
    <row r="14">
      <c r="A14" s="11" t="inlineStr">
        <is>
          <t>KOR-0017</t>
        </is>
      </c>
      <c r="B14" s="11" t="inlineStr">
        <is>
          <t>Chez Fergan</t>
        </is>
      </c>
      <c r="C14" s="11" t="n"/>
      <c r="D14" s="11" t="inlineStr">
        <is>
          <t>restaurant</t>
        </is>
      </c>
      <c r="E14" s="11" t="n"/>
      <c r="F14" s="11" t="inlineStr">
        <is>
          <t>Brugsesteenweg</t>
        </is>
      </c>
      <c r="G14" s="11" t="inlineStr">
        <is>
          <t>21</t>
        </is>
      </c>
      <c r="H14" s="11" t="n"/>
      <c r="I14" s="11" t="inlineStr">
        <is>
          <t>Kortrijk</t>
        </is>
      </c>
      <c r="J14" s="11" t="n"/>
      <c r="K14" s="11" t="inlineStr">
        <is>
          <t>BE</t>
        </is>
      </c>
      <c r="L14" s="11" t="inlineStr">
        <is>
          <t>+32 485 57 52 76</t>
        </is>
      </c>
      <c r="M14" s="15" t="inlineStr">
        <is>
          <t>info@chezfergan.be</t>
        </is>
      </c>
      <c r="N14" s="15" t="inlineStr">
        <is>
          <t>https://chezfergan.be/</t>
        </is>
      </c>
      <c r="O14" s="11" t="n"/>
      <c r="P14" s="15" t="inlineStr">
        <is>
          <t>https://www.facebook.com/profile.php?id=61563090756801</t>
        </is>
      </c>
      <c r="Q14" s="11" t="n"/>
      <c r="R14" s="11" t="n"/>
      <c r="S14" s="12" t="inlineStr">
        <is>
          <t>We-Su 18:00-24:00</t>
        </is>
      </c>
      <c r="T14" s="12" t="n"/>
      <c r="U14" s="13" t="n">
        <v>50.835981</v>
      </c>
      <c r="V14" s="13" t="n">
        <v>3.261995</v>
      </c>
      <c r="W14" s="11" t="inlineStr">
        <is>
          <t>UNVERIFIED</t>
        </is>
      </c>
      <c r="X14" s="12" t="n"/>
      <c r="Y14" s="14" t="n">
        <v>65.2</v>
      </c>
      <c r="Z14" s="12" t="inlineStr">
        <is>
          <t>unverified</t>
        </is>
      </c>
      <c r="AA14" s="12" t="inlineStr">
        <is>
          <t>unverified</t>
        </is>
      </c>
      <c r="AB14" s="12" t="inlineStr">
        <is>
          <t>unverified</t>
        </is>
      </c>
      <c r="AC14" s="12" t="inlineStr">
        <is>
          <t>unverified - mobile number (BE)</t>
        </is>
      </c>
      <c r="AD14" s="12" t="inlineStr">
        <is>
          <t>missing</t>
        </is>
      </c>
      <c r="AE14" s="11" t="inlineStr">
        <is>
          <t>osm</t>
        </is>
      </c>
      <c r="AF14" s="15" t="inlineStr">
        <is>
          <t>https://www.openstreetmap.org/node/12311551834</t>
        </is>
      </c>
      <c r="AG14" s="11" t="n"/>
      <c r="AH14" s="11" t="inlineStr">
        <is>
          <t>2026-09-08T08:53:56+00:00</t>
        </is>
      </c>
      <c r="AI14" s="11" t="n"/>
      <c r="AJ14" s="11" t="n"/>
    </row>
    <row r="15">
      <c r="A15" s="11" t="inlineStr">
        <is>
          <t>KOR-0018</t>
        </is>
      </c>
      <c r="B15" s="11" t="inlineStr">
        <is>
          <t>d'Oude Burcht</t>
        </is>
      </c>
      <c r="C15" s="11" t="n"/>
      <c r="D15" s="11" t="inlineStr">
        <is>
          <t>restaurant</t>
        </is>
      </c>
      <c r="E15" s="11" t="n"/>
      <c r="F15" s="11" t="n"/>
      <c r="G15" s="11" t="n"/>
      <c r="H15" s="11" t="n"/>
      <c r="I15" s="11" t="inlineStr">
        <is>
          <t>Kortrijk</t>
        </is>
      </c>
      <c r="J15" s="11" t="n"/>
      <c r="K15" s="11" t="inlineStr">
        <is>
          <t>BE</t>
        </is>
      </c>
      <c r="L15" s="11" t="n"/>
      <c r="M15" s="15" t="inlineStr">
        <is>
          <t>info@oudeburcht.be</t>
        </is>
      </c>
      <c r="N15" s="15" t="inlineStr">
        <is>
          <t>https://www.oudeburcht.be/</t>
        </is>
      </c>
      <c r="O15" s="11" t="n"/>
      <c r="P15" s="11" t="n"/>
      <c r="Q15" s="11" t="n"/>
      <c r="R15" s="11" t="n"/>
      <c r="S15" s="12" t="n"/>
      <c r="T15" s="12" t="n"/>
      <c r="U15" s="13" t="n">
        <v>50.829277</v>
      </c>
      <c r="V15" s="13" t="n">
        <v>3.26678</v>
      </c>
      <c r="W15" s="11" t="inlineStr">
        <is>
          <t>UNVERIFIED</t>
        </is>
      </c>
      <c r="X15" s="12" t="n"/>
      <c r="Y15" s="14" t="n">
        <v>43.5</v>
      </c>
      <c r="Z15" s="12" t="inlineStr">
        <is>
          <t>unverified</t>
        </is>
      </c>
      <c r="AA15" s="12" t="inlineStr">
        <is>
          <t>unverified</t>
        </is>
      </c>
      <c r="AB15" s="12" t="inlineStr">
        <is>
          <t>unverified</t>
        </is>
      </c>
      <c r="AC15" s="12" t="inlineStr">
        <is>
          <t>missing</t>
        </is>
      </c>
      <c r="AD15" s="12" t="inlineStr">
        <is>
          <t>missing</t>
        </is>
      </c>
      <c r="AE15" s="11" t="inlineStr">
        <is>
          <t>osm</t>
        </is>
      </c>
      <c r="AF15" s="15" t="inlineStr">
        <is>
          <t>https://www.openstreetmap.org/node/4598133877</t>
        </is>
      </c>
      <c r="AG15" s="11" t="n"/>
      <c r="AH15" s="11" t="inlineStr">
        <is>
          <t>2026-09-08T08:53:56+00:00</t>
        </is>
      </c>
      <c r="AI15" s="11" t="n"/>
      <c r="AJ15" s="11" t="n"/>
    </row>
    <row r="16">
      <c r="A16" s="11" t="inlineStr">
        <is>
          <t>KOR-0019</t>
        </is>
      </c>
      <c r="B16" s="11" t="inlineStr">
        <is>
          <t>De Garage</t>
        </is>
      </c>
      <c r="C16" s="11" t="n"/>
      <c r="D16" s="11" t="inlineStr">
        <is>
          <t>restaurant</t>
        </is>
      </c>
      <c r="E16" s="11" t="n"/>
      <c r="F16" s="11" t="inlineStr">
        <is>
          <t>Aalbeeksesteenweg</t>
        </is>
      </c>
      <c r="G16" s="11" t="inlineStr">
        <is>
          <t>64</t>
        </is>
      </c>
      <c r="H16" s="11" t="inlineStr">
        <is>
          <t>8500</t>
        </is>
      </c>
      <c r="I16" s="11" t="inlineStr">
        <is>
          <t>Kortrijk</t>
        </is>
      </c>
      <c r="J16" s="11" t="n"/>
      <c r="K16" s="11" t="inlineStr">
        <is>
          <t>BE</t>
        </is>
      </c>
      <c r="L16" s="11" t="inlineStr">
        <is>
          <t>+32 465 02 05 01</t>
        </is>
      </c>
      <c r="M16" s="15" t="inlineStr">
        <is>
          <t>fitz@degaragekortrijk.be</t>
        </is>
      </c>
      <c r="N16" s="15" t="inlineStr">
        <is>
          <t>https://www.degaragekortrijk.be/</t>
        </is>
      </c>
      <c r="O16" s="11" t="n"/>
      <c r="P16" s="11" t="n"/>
      <c r="Q16" s="15" t="inlineStr">
        <is>
          <t>https://www.instagram.com/degaragekortrijk</t>
        </is>
      </c>
      <c r="R16" s="11" t="n"/>
      <c r="S16" s="12" t="inlineStr">
        <is>
          <t>Mo-Fr 12:00-14:00,18:30-22:30; We 18:30-22:30</t>
        </is>
      </c>
      <c r="T16" s="12" t="n"/>
      <c r="U16" s="13" t="n">
        <v>50.821176</v>
      </c>
      <c r="V16" s="13" t="n">
        <v>3.258073</v>
      </c>
      <c r="W16" s="11" t="inlineStr">
        <is>
          <t>UNVERIFIED</t>
        </is>
      </c>
      <c r="X16" s="12" t="n"/>
      <c r="Y16" s="14" t="n">
        <v>69.59999999999999</v>
      </c>
      <c r="Z16" s="12" t="inlineStr">
        <is>
          <t>unverified</t>
        </is>
      </c>
      <c r="AA16" s="12" t="inlineStr">
        <is>
          <t>unverified</t>
        </is>
      </c>
      <c r="AB16" s="12" t="inlineStr">
        <is>
          <t>unverified</t>
        </is>
      </c>
      <c r="AC16" s="12" t="inlineStr">
        <is>
          <t>unverified - mobile number (BE)</t>
        </is>
      </c>
      <c r="AD16" s="12" t="inlineStr">
        <is>
          <t>missing</t>
        </is>
      </c>
      <c r="AE16" s="11" t="inlineStr">
        <is>
          <t>osm</t>
        </is>
      </c>
      <c r="AF16" s="15" t="inlineStr">
        <is>
          <t>https://www.openstreetmap.org/node/10686651253</t>
        </is>
      </c>
      <c r="AG16" s="11" t="n"/>
      <c r="AH16" s="11" t="inlineStr">
        <is>
          <t>2026-09-08T08:53:56+00:00</t>
        </is>
      </c>
      <c r="AI16" s="11" t="n"/>
      <c r="AJ16" s="11" t="n"/>
    </row>
    <row r="17">
      <c r="A17" s="11" t="inlineStr">
        <is>
          <t>KOR-0020</t>
        </is>
      </c>
      <c r="B17" s="11" t="inlineStr">
        <is>
          <t>De pomp</t>
        </is>
      </c>
      <c r="C17" s="11" t="n"/>
      <c r="D17" s="11" t="inlineStr">
        <is>
          <t>restaurant</t>
        </is>
      </c>
      <c r="E17" s="11" t="n"/>
      <c r="F17" s="11" t="n"/>
      <c r="G17" s="11" t="n"/>
      <c r="H17" s="11" t="n"/>
      <c r="I17" s="11" t="inlineStr">
        <is>
          <t>Kortrijk</t>
        </is>
      </c>
      <c r="J17" s="11" t="n"/>
      <c r="K17" s="11" t="inlineStr">
        <is>
          <t>BE</t>
        </is>
      </c>
      <c r="L17" s="11" t="n"/>
      <c r="M17" s="11" t="n"/>
      <c r="N17" s="11" t="n"/>
      <c r="O17" s="11" t="n"/>
      <c r="P17" s="11" t="n"/>
      <c r="Q17" s="11" t="n"/>
      <c r="R17" s="11" t="n"/>
      <c r="S17" s="12" t="n"/>
      <c r="T17" s="12" t="n"/>
      <c r="U17" s="13" t="n">
        <v>50.759005</v>
      </c>
      <c r="V17" s="13" t="n">
        <v>3.247987</v>
      </c>
      <c r="W17" s="11" t="inlineStr">
        <is>
          <t>UNVERIFIED</t>
        </is>
      </c>
      <c r="X17" s="12" t="n"/>
      <c r="Y17" s="14" t="n">
        <v>34.8</v>
      </c>
      <c r="Z17" s="12" t="inlineStr">
        <is>
          <t>unverified</t>
        </is>
      </c>
      <c r="AA17" s="12" t="inlineStr">
        <is>
          <t>missing</t>
        </is>
      </c>
      <c r="AB17" s="12" t="inlineStr">
        <is>
          <t>missing</t>
        </is>
      </c>
      <c r="AC17" s="12" t="inlineStr">
        <is>
          <t>missing</t>
        </is>
      </c>
      <c r="AD17" s="12" t="inlineStr">
        <is>
          <t>missing</t>
        </is>
      </c>
      <c r="AE17" s="11" t="inlineStr">
        <is>
          <t>osm</t>
        </is>
      </c>
      <c r="AF17" s="15" t="inlineStr">
        <is>
          <t>https://www.openstreetmap.org/node/779033004</t>
        </is>
      </c>
      <c r="AG17" s="11" t="n"/>
      <c r="AH17" s="11" t="inlineStr">
        <is>
          <t>2026-09-08T08:53:56+00:00</t>
        </is>
      </c>
      <c r="AI17" s="11" t="n"/>
      <c r="AJ17" s="11" t="n"/>
    </row>
    <row r="18">
      <c r="A18" s="11" t="inlineStr">
        <is>
          <t>KOR-0021</t>
        </is>
      </c>
      <c r="B18" s="11" t="inlineStr">
        <is>
          <t>De Smesse</t>
        </is>
      </c>
      <c r="C18" s="11" t="n"/>
      <c r="D18" s="11" t="inlineStr">
        <is>
          <t>cafe</t>
        </is>
      </c>
      <c r="E18" s="11" t="n"/>
      <c r="F18" s="11" t="n"/>
      <c r="G18" s="11" t="n"/>
      <c r="H18" s="11" t="n"/>
      <c r="I18" s="11" t="inlineStr">
        <is>
          <t>Kortrijk</t>
        </is>
      </c>
      <c r="J18" s="11" t="n"/>
      <c r="K18" s="11" t="inlineStr">
        <is>
          <t>BE</t>
        </is>
      </c>
      <c r="L18" s="11" t="n"/>
      <c r="M18" s="11" t="n"/>
      <c r="N18" s="11" t="n"/>
      <c r="O18" s="11" t="n"/>
      <c r="P18" s="11" t="n"/>
      <c r="Q18" s="11" t="n"/>
      <c r="R18" s="11" t="n"/>
      <c r="S18" s="12" t="n"/>
      <c r="T18" s="12" t="n"/>
      <c r="U18" s="13" t="n">
        <v>50.777445</v>
      </c>
      <c r="V18" s="13" t="n">
        <v>3.232378</v>
      </c>
      <c r="W18" s="11" t="inlineStr">
        <is>
          <t>UNVERIFIED</t>
        </is>
      </c>
      <c r="X18" s="12" t="n"/>
      <c r="Y18" s="14" t="n">
        <v>34.8</v>
      </c>
      <c r="Z18" s="12" t="inlineStr">
        <is>
          <t>unverified</t>
        </is>
      </c>
      <c r="AA18" s="12" t="inlineStr">
        <is>
          <t>missing</t>
        </is>
      </c>
      <c r="AB18" s="12" t="inlineStr">
        <is>
          <t>missing</t>
        </is>
      </c>
      <c r="AC18" s="12" t="inlineStr">
        <is>
          <t>missing</t>
        </is>
      </c>
      <c r="AD18" s="12" t="inlineStr">
        <is>
          <t>missing</t>
        </is>
      </c>
      <c r="AE18" s="11" t="inlineStr">
        <is>
          <t>osm</t>
        </is>
      </c>
      <c r="AF18" s="15" t="inlineStr">
        <is>
          <t>https://www.openstreetmap.org/node/1083293580</t>
        </is>
      </c>
      <c r="AG18" s="11" t="n"/>
      <c r="AH18" s="11" t="inlineStr">
        <is>
          <t>2026-09-08T08:53:56+00:00</t>
        </is>
      </c>
      <c r="AI18" s="11" t="n"/>
      <c r="AJ18" s="11" t="n"/>
    </row>
    <row r="19">
      <c r="A19" s="11" t="inlineStr">
        <is>
          <t>KOR-0022</t>
        </is>
      </c>
      <c r="B19" s="11" t="inlineStr">
        <is>
          <t>deDingen</t>
        </is>
      </c>
      <c r="C19" s="11" t="n"/>
      <c r="D19" s="11" t="inlineStr">
        <is>
          <t>cafe</t>
        </is>
      </c>
      <c r="E19" s="11" t="n"/>
      <c r="F19" s="11" t="inlineStr">
        <is>
          <t>Budastraat</t>
        </is>
      </c>
      <c r="G19" s="11" t="inlineStr">
        <is>
          <t>12</t>
        </is>
      </c>
      <c r="H19" s="11" t="inlineStr">
        <is>
          <t>8500</t>
        </is>
      </c>
      <c r="I19" s="11" t="inlineStr">
        <is>
          <t>Kortrijk</t>
        </is>
      </c>
      <c r="J19" s="11" t="n"/>
      <c r="K19" s="11" t="inlineStr">
        <is>
          <t>BE</t>
        </is>
      </c>
      <c r="L19" s="11" t="n"/>
      <c r="M19" s="11" t="n"/>
      <c r="N19" s="15" t="inlineStr">
        <is>
          <t>https://dedingen.be/</t>
        </is>
      </c>
      <c r="O19" s="11" t="n"/>
      <c r="P19" s="11" t="n"/>
      <c r="Q19" s="11" t="n"/>
      <c r="R19" s="11" t="n"/>
      <c r="S19" s="12" t="n"/>
      <c r="T19" s="12" t="n"/>
      <c r="U19" s="13" t="n">
        <v>50.830146</v>
      </c>
      <c r="V19" s="13" t="n">
        <v>3.264048</v>
      </c>
      <c r="W19" s="11" t="inlineStr">
        <is>
          <t>UNVERIFIED</t>
        </is>
      </c>
      <c r="X19" s="12" t="n"/>
      <c r="Y19" s="14" t="n">
        <v>52.2</v>
      </c>
      <c r="Z19" s="12" t="inlineStr">
        <is>
          <t>unverified</t>
        </is>
      </c>
      <c r="AA19" s="12" t="inlineStr">
        <is>
          <t>unverified</t>
        </is>
      </c>
      <c r="AB19" s="12" t="inlineStr">
        <is>
          <t>missing</t>
        </is>
      </c>
      <c r="AC19" s="12" t="inlineStr">
        <is>
          <t>missing</t>
        </is>
      </c>
      <c r="AD19" s="12" t="inlineStr">
        <is>
          <t>missing</t>
        </is>
      </c>
      <c r="AE19" s="11" t="inlineStr">
        <is>
          <t>osm</t>
        </is>
      </c>
      <c r="AF19" s="15" t="inlineStr">
        <is>
          <t>https://www.openstreetmap.org/node/2065691962</t>
        </is>
      </c>
      <c r="AG19" s="11" t="n"/>
      <c r="AH19" s="11" t="inlineStr">
        <is>
          <t>2026-09-08T08:53:56+00:00</t>
        </is>
      </c>
      <c r="AI19" s="11" t="n"/>
      <c r="AJ19" s="11" t="n"/>
    </row>
    <row r="20">
      <c r="A20" s="11" t="inlineStr">
        <is>
          <t>KOR-0023</t>
        </is>
      </c>
      <c r="B20" s="11" t="inlineStr">
        <is>
          <t>Den Expo</t>
        </is>
      </c>
      <c r="C20" s="11" t="n"/>
      <c r="D20" s="11" t="inlineStr">
        <is>
          <t>cafe</t>
        </is>
      </c>
      <c r="E20" s="11" t="n"/>
      <c r="F20" s="11" t="n"/>
      <c r="G20" s="11" t="n"/>
      <c r="H20" s="11" t="n"/>
      <c r="I20" s="11" t="inlineStr">
        <is>
          <t>Kortrijk</t>
        </is>
      </c>
      <c r="J20" s="11" t="n"/>
      <c r="K20" s="11" t="inlineStr">
        <is>
          <t>BE</t>
        </is>
      </c>
      <c r="L20" s="11" t="n"/>
      <c r="M20" s="11" t="n"/>
      <c r="N20" s="11" t="n"/>
      <c r="O20" s="11" t="n"/>
      <c r="P20" s="11" t="n"/>
      <c r="Q20" s="11" t="n"/>
      <c r="R20" s="11" t="n"/>
      <c r="S20" s="12" t="n"/>
      <c r="T20" s="12" t="n"/>
      <c r="U20" s="13" t="n">
        <v>50.808333</v>
      </c>
      <c r="V20" s="13" t="n">
        <v>3.279413</v>
      </c>
      <c r="W20" s="11" t="inlineStr">
        <is>
          <t>UNVERIFIED</t>
        </is>
      </c>
      <c r="X20" s="12" t="n"/>
      <c r="Y20" s="14" t="n">
        <v>34.8</v>
      </c>
      <c r="Z20" s="12" t="inlineStr">
        <is>
          <t>unverified</t>
        </is>
      </c>
      <c r="AA20" s="12" t="inlineStr">
        <is>
          <t>missing</t>
        </is>
      </c>
      <c r="AB20" s="12" t="inlineStr">
        <is>
          <t>missing</t>
        </is>
      </c>
      <c r="AC20" s="12" t="inlineStr">
        <is>
          <t>missing</t>
        </is>
      </c>
      <c r="AD20" s="12" t="inlineStr">
        <is>
          <t>missing</t>
        </is>
      </c>
      <c r="AE20" s="11" t="inlineStr">
        <is>
          <t>osm</t>
        </is>
      </c>
      <c r="AF20" s="15" t="inlineStr">
        <is>
          <t>https://www.openstreetmap.org/node/703600346</t>
        </is>
      </c>
      <c r="AG20" s="11" t="n"/>
      <c r="AH20" s="11" t="inlineStr">
        <is>
          <t>2026-09-08T08:53:56+00:00</t>
        </is>
      </c>
      <c r="AI20" s="11" t="n"/>
      <c r="AJ20" s="11" t="n"/>
    </row>
    <row r="21">
      <c r="A21" s="11" t="inlineStr">
        <is>
          <t>KOR-0024</t>
        </is>
      </c>
      <c r="B21" s="11" t="inlineStr">
        <is>
          <t>Dionysos</t>
        </is>
      </c>
      <c r="C21" s="11" t="n"/>
      <c r="D21" s="11" t="inlineStr">
        <is>
          <t>restaurant</t>
        </is>
      </c>
      <c r="E21" s="11" t="inlineStr">
        <is>
          <t>greek</t>
        </is>
      </c>
      <c r="F21" s="11" t="inlineStr">
        <is>
          <t>Doornikselaan</t>
        </is>
      </c>
      <c r="G21" s="11" t="inlineStr">
        <is>
          <t>4</t>
        </is>
      </c>
      <c r="H21" s="11" t="inlineStr">
        <is>
          <t>8500</t>
        </is>
      </c>
      <c r="I21" s="11" t="inlineStr">
        <is>
          <t>Kortrijk</t>
        </is>
      </c>
      <c r="J21" s="11" t="n"/>
      <c r="K21" s="11" t="inlineStr">
        <is>
          <t>BE</t>
        </is>
      </c>
      <c r="L21" s="11" t="n"/>
      <c r="M21" s="11" t="n"/>
      <c r="N21" s="11" t="n"/>
      <c r="O21" s="11" t="n"/>
      <c r="P21" s="11" t="n"/>
      <c r="Q21" s="11" t="n"/>
      <c r="R21" s="11" t="n"/>
      <c r="S21" s="12" t="n"/>
      <c r="T21" s="12" t="n"/>
      <c r="U21" s="13" t="n">
        <v>50.825023</v>
      </c>
      <c r="V21" s="13" t="n">
        <v>3.265997</v>
      </c>
      <c r="W21" s="11" t="inlineStr">
        <is>
          <t>UNVERIFIED</t>
        </is>
      </c>
      <c r="X21" s="12" t="n"/>
      <c r="Y21" s="14" t="n">
        <v>52.2</v>
      </c>
      <c r="Z21" s="12" t="inlineStr">
        <is>
          <t>unverified</t>
        </is>
      </c>
      <c r="AA21" s="12" t="inlineStr">
        <is>
          <t>missing</t>
        </is>
      </c>
      <c r="AB21" s="12" t="inlineStr">
        <is>
          <t>missing</t>
        </is>
      </c>
      <c r="AC21" s="12" t="inlineStr">
        <is>
          <t>missing</t>
        </is>
      </c>
      <c r="AD21" s="12" t="inlineStr">
        <is>
          <t>missing</t>
        </is>
      </c>
      <c r="AE21" s="11" t="inlineStr">
        <is>
          <t>osm</t>
        </is>
      </c>
      <c r="AF21" s="15" t="inlineStr">
        <is>
          <t>https://www.openstreetmap.org/way/391267222</t>
        </is>
      </c>
      <c r="AG21" s="11" t="n"/>
      <c r="AH21" s="11" t="inlineStr">
        <is>
          <t>2026-09-08T08:53:56+00:00</t>
        </is>
      </c>
      <c r="AI21" s="11" t="n"/>
      <c r="AJ21" s="11" t="n"/>
    </row>
    <row r="22">
      <c r="A22" s="11" t="inlineStr">
        <is>
          <t>KOR-0025</t>
        </is>
      </c>
      <c r="B22" s="11" t="inlineStr">
        <is>
          <t>Dynasty Ocho</t>
        </is>
      </c>
      <c r="C22" s="11" t="n"/>
      <c r="D22" s="11" t="inlineStr">
        <is>
          <t>restaurant</t>
        </is>
      </c>
      <c r="E22" s="11" t="inlineStr">
        <is>
          <t>chinese</t>
        </is>
      </c>
      <c r="F22" s="11" t="inlineStr">
        <is>
          <t>Pottelberg</t>
        </is>
      </c>
      <c r="G22" s="11" t="inlineStr">
        <is>
          <t>136</t>
        </is>
      </c>
      <c r="H22" s="11" t="inlineStr">
        <is>
          <t>8510</t>
        </is>
      </c>
      <c r="I22" s="11" t="inlineStr">
        <is>
          <t>Kortrijk</t>
        </is>
      </c>
      <c r="J22" s="11" t="inlineStr">
        <is>
          <t>Marke</t>
        </is>
      </c>
      <c r="K22" s="11" t="inlineStr">
        <is>
          <t>BE</t>
        </is>
      </c>
      <c r="L22" s="11" t="inlineStr">
        <is>
          <t>+32 56 21 68 88</t>
        </is>
      </c>
      <c r="M22" s="11" t="n"/>
      <c r="N22" s="15" t="inlineStr">
        <is>
          <t>https://www.dynastyocho.be/</t>
        </is>
      </c>
      <c r="O22" s="11" t="n"/>
      <c r="P22" s="11" t="n"/>
      <c r="Q22" s="11" t="n"/>
      <c r="R22" s="11" t="n"/>
      <c r="S22" s="12" t="inlineStr">
        <is>
          <t>Th-Tu 12:00-00:00</t>
        </is>
      </c>
      <c r="T22" s="12" t="n"/>
      <c r="U22" s="13" t="n">
        <v>50.810407</v>
      </c>
      <c r="V22" s="13" t="n">
        <v>3.248972</v>
      </c>
      <c r="W22" s="11" t="inlineStr">
        <is>
          <t>UNVERIFIED</t>
        </is>
      </c>
      <c r="X22" s="12" t="n"/>
      <c r="Y22" s="14" t="n">
        <v>69.59999999999999</v>
      </c>
      <c r="Z22" s="12" t="inlineStr">
        <is>
          <t>unverified</t>
        </is>
      </c>
      <c r="AA22" s="12" t="inlineStr">
        <is>
          <t>unverified</t>
        </is>
      </c>
      <c r="AB22" s="12" t="inlineStr">
        <is>
          <t>missing</t>
        </is>
      </c>
      <c r="AC22" s="12" t="inlineStr">
        <is>
          <t>unverified - fixed number (BE)</t>
        </is>
      </c>
      <c r="AD22" s="12" t="inlineStr">
        <is>
          <t>missing</t>
        </is>
      </c>
      <c r="AE22" s="11" t="inlineStr">
        <is>
          <t>osm</t>
        </is>
      </c>
      <c r="AF22" s="15" t="inlineStr">
        <is>
          <t>https://www.openstreetmap.org/node/4485631691</t>
        </is>
      </c>
      <c r="AG22" s="11" t="n"/>
      <c r="AH22" s="11" t="inlineStr">
        <is>
          <t>2026-09-08T08:53:56+00:00</t>
        </is>
      </c>
      <c r="AI22" s="11" t="n"/>
      <c r="AJ22" s="11" t="n"/>
    </row>
    <row r="23">
      <c r="A23" s="11" t="inlineStr">
        <is>
          <t>KOR-0026</t>
        </is>
      </c>
      <c r="B23" s="11" t="inlineStr">
        <is>
          <t>Eetcafé Nostalgie</t>
        </is>
      </c>
      <c r="C23" s="11" t="n"/>
      <c r="D23" s="11" t="inlineStr">
        <is>
          <t>restaurant</t>
        </is>
      </c>
      <c r="E23" s="11" t="n"/>
      <c r="F23" s="11" t="inlineStr">
        <is>
          <t>Veemarkt</t>
        </is>
      </c>
      <c r="G23" s="11" t="inlineStr">
        <is>
          <t>26</t>
        </is>
      </c>
      <c r="H23" s="11" t="inlineStr">
        <is>
          <t>8500</t>
        </is>
      </c>
      <c r="I23" s="11" t="inlineStr">
        <is>
          <t>Kortrijk</t>
        </is>
      </c>
      <c r="J23" s="11" t="n"/>
      <c r="K23" s="11" t="inlineStr">
        <is>
          <t>BE</t>
        </is>
      </c>
      <c r="L23" s="11" t="n"/>
      <c r="M23" s="11" t="n"/>
      <c r="N23" s="15" t="inlineStr">
        <is>
          <t>https://eetcafenostalgie.be/</t>
        </is>
      </c>
      <c r="O23" s="11" t="n"/>
      <c r="P23" s="11" t="n"/>
      <c r="Q23" s="11" t="n"/>
      <c r="R23" s="11" t="n"/>
      <c r="S23" s="12" t="n"/>
      <c r="T23" s="12" t="n"/>
      <c r="U23" s="13" t="n">
        <v>50.82629</v>
      </c>
      <c r="V23" s="13" t="n">
        <v>3.273309</v>
      </c>
      <c r="W23" s="11" t="inlineStr">
        <is>
          <t>UNVERIFIED</t>
        </is>
      </c>
      <c r="X23" s="12" t="n"/>
      <c r="Y23" s="14" t="n">
        <v>52.2</v>
      </c>
      <c r="Z23" s="12" t="inlineStr">
        <is>
          <t>unverified</t>
        </is>
      </c>
      <c r="AA23" s="12" t="inlineStr">
        <is>
          <t>unverified</t>
        </is>
      </c>
      <c r="AB23" s="12" t="inlineStr">
        <is>
          <t>missing</t>
        </is>
      </c>
      <c r="AC23" s="12" t="inlineStr">
        <is>
          <t>missing</t>
        </is>
      </c>
      <c r="AD23" s="12" t="inlineStr">
        <is>
          <t>missing</t>
        </is>
      </c>
      <c r="AE23" s="11" t="inlineStr">
        <is>
          <t>osm</t>
        </is>
      </c>
      <c r="AF23" s="15" t="inlineStr">
        <is>
          <t>https://www.openstreetmap.org/node/4853104325</t>
        </is>
      </c>
      <c r="AG23" s="11" t="n"/>
      <c r="AH23" s="11" t="inlineStr">
        <is>
          <t>2026-09-08T08:53:56+00:00</t>
        </is>
      </c>
      <c r="AI23" s="11" t="n"/>
      <c r="AJ23" s="11" t="n"/>
    </row>
    <row r="24">
      <c r="A24" s="11" t="inlineStr">
        <is>
          <t>KOR-0027</t>
        </is>
      </c>
      <c r="B24" s="11" t="inlineStr">
        <is>
          <t>Frituur Natuur</t>
        </is>
      </c>
      <c r="C24" s="11" t="n"/>
      <c r="D24" s="11" t="inlineStr">
        <is>
          <t>restaurant</t>
        </is>
      </c>
      <c r="E24" s="11" t="inlineStr">
        <is>
          <t>friture</t>
        </is>
      </c>
      <c r="F24" s="11" t="n"/>
      <c r="G24" s="11" t="n"/>
      <c r="H24" s="11" t="n"/>
      <c r="I24" s="11" t="inlineStr">
        <is>
          <t>Kortrijk</t>
        </is>
      </c>
      <c r="J24" s="11" t="n"/>
      <c r="K24" s="11" t="inlineStr">
        <is>
          <t>BE</t>
        </is>
      </c>
      <c r="L24" s="11" t="n"/>
      <c r="M24" s="15" t="inlineStr">
        <is>
          <t>info@frituurnatuur.be</t>
        </is>
      </c>
      <c r="N24" s="15" t="inlineStr">
        <is>
          <t>https://www.frituurnatuur.be/</t>
        </is>
      </c>
      <c r="O24" s="11" t="n"/>
      <c r="P24" s="11" t="n"/>
      <c r="Q24" s="11" t="n"/>
      <c r="R24" s="11" t="inlineStr">
        <is>
          <t>BE0629985405</t>
        </is>
      </c>
      <c r="S24" s="12" t="n"/>
      <c r="T24" s="12" t="n"/>
      <c r="U24" s="13" t="n">
        <v>50.804802</v>
      </c>
      <c r="V24" s="13" t="n">
        <v>3.237818</v>
      </c>
      <c r="W24" s="11" t="inlineStr">
        <is>
          <t>UNVERIFIED</t>
        </is>
      </c>
      <c r="X24" s="12" t="n"/>
      <c r="Y24" s="14" t="n">
        <v>52.2</v>
      </c>
      <c r="Z24" s="12" t="inlineStr">
        <is>
          <t>unverified</t>
        </is>
      </c>
      <c r="AA24" s="12" t="inlineStr">
        <is>
          <t>unverified</t>
        </is>
      </c>
      <c r="AB24" s="12" t="inlineStr">
        <is>
          <t>unverified</t>
        </is>
      </c>
      <c r="AC24" s="12" t="inlineStr">
        <is>
          <t>missing</t>
        </is>
      </c>
      <c r="AD24" s="12" t="inlineStr">
        <is>
          <t>unverified</t>
        </is>
      </c>
      <c r="AE24" s="11" t="inlineStr">
        <is>
          <t>osm</t>
        </is>
      </c>
      <c r="AF24" s="15" t="inlineStr">
        <is>
          <t>https://www.openstreetmap.org/way/408034848</t>
        </is>
      </c>
      <c r="AG24" s="11" t="n"/>
      <c r="AH24" s="11" t="inlineStr">
        <is>
          <t>2026-09-08T08:53:56+00:00</t>
        </is>
      </c>
      <c r="AI24" s="11" t="n"/>
      <c r="AJ24" s="11" t="n"/>
    </row>
    <row r="25">
      <c r="A25" s="11" t="inlineStr">
        <is>
          <t>KOR-0028</t>
        </is>
      </c>
      <c r="B25" s="11" t="inlineStr">
        <is>
          <t>Goed Ten Houte</t>
        </is>
      </c>
      <c r="C25" s="11" t="n"/>
      <c r="D25" s="11" t="inlineStr">
        <is>
          <t>restaurant</t>
        </is>
      </c>
      <c r="E25" s="11" t="n"/>
      <c r="F25" s="11" t="inlineStr">
        <is>
          <t>Ten Houtedreef</t>
        </is>
      </c>
      <c r="G25" s="11" t="inlineStr">
        <is>
          <t>31</t>
        </is>
      </c>
      <c r="H25" s="11" t="inlineStr">
        <is>
          <t>8500</t>
        </is>
      </c>
      <c r="I25" s="11" t="inlineStr">
        <is>
          <t>Kortrijk</t>
        </is>
      </c>
      <c r="J25" s="11" t="n"/>
      <c r="K25" s="11" t="inlineStr">
        <is>
          <t>BE</t>
        </is>
      </c>
      <c r="L25" s="11" t="n"/>
      <c r="M25" s="11" t="n"/>
      <c r="N25" s="15" t="inlineStr">
        <is>
          <t>https://www.goedtenhoute.be/</t>
        </is>
      </c>
      <c r="O25" s="11" t="n"/>
      <c r="P25" s="11" t="n"/>
      <c r="Q25" s="11" t="n"/>
      <c r="R25" s="11" t="n"/>
      <c r="S25" s="12" t="n"/>
      <c r="T25" s="12" t="n"/>
      <c r="U25" s="13" t="n">
        <v>50.795362</v>
      </c>
      <c r="V25" s="13" t="n">
        <v>3.292006</v>
      </c>
      <c r="W25" s="11" t="inlineStr">
        <is>
          <t>UNVERIFIED</t>
        </is>
      </c>
      <c r="X25" s="12" t="n"/>
      <c r="Y25" s="14" t="n">
        <v>52.2</v>
      </c>
      <c r="Z25" s="12" t="inlineStr">
        <is>
          <t>unverified</t>
        </is>
      </c>
      <c r="AA25" s="12" t="inlineStr">
        <is>
          <t>unverified</t>
        </is>
      </c>
      <c r="AB25" s="12" t="inlineStr">
        <is>
          <t>missing</t>
        </is>
      </c>
      <c r="AC25" s="12" t="inlineStr">
        <is>
          <t>missing</t>
        </is>
      </c>
      <c r="AD25" s="12" t="inlineStr">
        <is>
          <t>missing</t>
        </is>
      </c>
      <c r="AE25" s="11" t="inlineStr">
        <is>
          <t>osm</t>
        </is>
      </c>
      <c r="AF25" s="15" t="inlineStr">
        <is>
          <t>https://www.openstreetmap.org/relation/17071436</t>
        </is>
      </c>
      <c r="AG25" s="11" t="n"/>
      <c r="AH25" s="11" t="inlineStr">
        <is>
          <t>2026-09-08T08:53:56+00:00</t>
        </is>
      </c>
      <c r="AI25" s="11" t="n"/>
      <c r="AJ25" s="11" t="n"/>
    </row>
    <row r="26">
      <c r="A26" s="11" t="inlineStr">
        <is>
          <t>KOR-0029</t>
        </is>
      </c>
      <c r="B26" s="11" t="inlineStr">
        <is>
          <t>Gursha</t>
        </is>
      </c>
      <c r="C26" s="11" t="n"/>
      <c r="D26" s="11" t="inlineStr">
        <is>
          <t>restaurant</t>
        </is>
      </c>
      <c r="E26" s="11" t="n"/>
      <c r="F26" s="11" t="inlineStr">
        <is>
          <t>Overbekeplein</t>
        </is>
      </c>
      <c r="G26" s="11" t="inlineStr">
        <is>
          <t>11</t>
        </is>
      </c>
      <c r="H26" s="11" t="n"/>
      <c r="I26" s="11" t="inlineStr">
        <is>
          <t>Kortrijk</t>
        </is>
      </c>
      <c r="J26" s="11" t="n"/>
      <c r="K26" s="11" t="inlineStr">
        <is>
          <t>BE</t>
        </is>
      </c>
      <c r="L26" s="11" t="inlineStr">
        <is>
          <t>+32 484 21 16 50</t>
        </is>
      </c>
      <c r="M26" s="15" t="inlineStr">
        <is>
          <t>gursha.kortrijk@gmail.com</t>
        </is>
      </c>
      <c r="N26" s="15" t="inlineStr">
        <is>
          <t>https://gurshakortrijk.com/</t>
        </is>
      </c>
      <c r="O26" s="11" t="n"/>
      <c r="P26" s="15" t="inlineStr">
        <is>
          <t>https://www.facebook.com/profile.php?id=61582449869308</t>
        </is>
      </c>
      <c r="Q26" s="11" t="n"/>
      <c r="R26" s="11" t="n"/>
      <c r="S26" s="12" t="inlineStr">
        <is>
          <t>Th,Fr 11:30-14:00,17:30-21:00; Sa 14:00-21:00</t>
        </is>
      </c>
      <c r="T26" s="12" t="n"/>
      <c r="U26" s="13" t="n">
        <v>50.827513</v>
      </c>
      <c r="V26" s="13" t="n">
        <v>3.269246</v>
      </c>
      <c r="W26" s="11" t="inlineStr">
        <is>
          <t>UNVERIFIED</t>
        </is>
      </c>
      <c r="X26" s="12" t="n"/>
      <c r="Y26" s="14" t="n">
        <v>65.2</v>
      </c>
      <c r="Z26" s="12" t="inlineStr">
        <is>
          <t>unverified</t>
        </is>
      </c>
      <c r="AA26" s="12" t="inlineStr">
        <is>
          <t>unverified</t>
        </is>
      </c>
      <c r="AB26" s="12" t="inlineStr">
        <is>
          <t>unverified</t>
        </is>
      </c>
      <c r="AC26" s="12" t="inlineStr">
        <is>
          <t>unverified - mobile number (BE)</t>
        </is>
      </c>
      <c r="AD26" s="12" t="inlineStr">
        <is>
          <t>missing</t>
        </is>
      </c>
      <c r="AE26" s="11" t="inlineStr">
        <is>
          <t>osm</t>
        </is>
      </c>
      <c r="AF26" s="15" t="inlineStr">
        <is>
          <t>https://www.openstreetmap.org/node/13285101515</t>
        </is>
      </c>
      <c r="AG26" s="11" t="n"/>
      <c r="AH26" s="11" t="inlineStr">
        <is>
          <t>2026-09-08T08:53:56+00:00</t>
        </is>
      </c>
      <c r="AI26" s="11" t="n"/>
      <c r="AJ26" s="11" t="n"/>
    </row>
    <row r="27">
      <c r="A27" s="11" t="inlineStr">
        <is>
          <t>KOR-0030</t>
        </is>
      </c>
      <c r="B27" s="11" t="inlineStr">
        <is>
          <t>Hollywok</t>
        </is>
      </c>
      <c r="C27" s="11" t="n"/>
      <c r="D27" s="11" t="inlineStr">
        <is>
          <t>restaurant</t>
        </is>
      </c>
      <c r="E27" s="11" t="inlineStr">
        <is>
          <t>asian</t>
        </is>
      </c>
      <c r="F27" s="11" t="inlineStr">
        <is>
          <t>President Kennedylaan</t>
        </is>
      </c>
      <c r="G27" s="11" t="inlineStr">
        <is>
          <t>100</t>
        </is>
      </c>
      <c r="H27" s="11" t="inlineStr">
        <is>
          <t>8500</t>
        </is>
      </c>
      <c r="I27" s="11" t="inlineStr">
        <is>
          <t>Kortrijk</t>
        </is>
      </c>
      <c r="J27" s="11" t="n"/>
      <c r="K27" s="11" t="inlineStr">
        <is>
          <t>BE</t>
        </is>
      </c>
      <c r="L27" s="11" t="inlineStr">
        <is>
          <t>+32 56 20 55 88</t>
        </is>
      </c>
      <c r="M27" s="15" t="inlineStr">
        <is>
          <t>info@hollywok.be</t>
        </is>
      </c>
      <c r="N27" s="15" t="inlineStr">
        <is>
          <t>https://hollywok.be/</t>
        </is>
      </c>
      <c r="O27" s="11" t="n"/>
      <c r="P27" s="11" t="n"/>
      <c r="Q27" s="11" t="n"/>
      <c r="R27" s="11" t="n"/>
      <c r="S27" s="12" t="n"/>
      <c r="T27" s="12" t="n"/>
      <c r="U27" s="13" t="n">
        <v>50.805208</v>
      </c>
      <c r="V27" s="13" t="n">
        <v>3.275526</v>
      </c>
      <c r="W27" s="11" t="inlineStr">
        <is>
          <t>UNVERIFIED</t>
        </is>
      </c>
      <c r="X27" s="12" t="n"/>
      <c r="Y27" s="14" t="n">
        <v>65.2</v>
      </c>
      <c r="Z27" s="12" t="inlineStr">
        <is>
          <t>unverified</t>
        </is>
      </c>
      <c r="AA27" s="12" t="inlineStr">
        <is>
          <t>unverified</t>
        </is>
      </c>
      <c r="AB27" s="12" t="inlineStr">
        <is>
          <t>unverified</t>
        </is>
      </c>
      <c r="AC27" s="12" t="inlineStr">
        <is>
          <t>unverified - fixed number (BE)</t>
        </is>
      </c>
      <c r="AD27" s="12" t="inlineStr">
        <is>
          <t>missing</t>
        </is>
      </c>
      <c r="AE27" s="11" t="inlineStr">
        <is>
          <t>osm</t>
        </is>
      </c>
      <c r="AF27" s="15" t="inlineStr">
        <is>
          <t>https://www.openstreetmap.org/node/703602654</t>
        </is>
      </c>
      <c r="AG27" s="11" t="n"/>
      <c r="AH27" s="11" t="inlineStr">
        <is>
          <t>2026-09-08T08:53:56+00:00</t>
        </is>
      </c>
      <c r="AI27" s="11" t="n"/>
      <c r="AJ27" s="11" t="n"/>
    </row>
    <row r="28">
      <c r="A28" s="11" t="inlineStr">
        <is>
          <t>KOR-0031</t>
        </is>
      </c>
      <c r="B28" s="11" t="inlineStr">
        <is>
          <t>IzyCoffee</t>
        </is>
      </c>
      <c r="C28" s="11" t="n"/>
      <c r="D28" s="11" t="inlineStr">
        <is>
          <t>cafe</t>
        </is>
      </c>
      <c r="E28" s="11" t="inlineStr">
        <is>
          <t>coffee shop</t>
        </is>
      </c>
      <c r="F28" s="11" t="inlineStr">
        <is>
          <t>Korte Steenstraat</t>
        </is>
      </c>
      <c r="G28" s="11" t="inlineStr">
        <is>
          <t>15</t>
        </is>
      </c>
      <c r="H28" s="11" t="inlineStr">
        <is>
          <t>8500</t>
        </is>
      </c>
      <c r="I28" s="11" t="inlineStr">
        <is>
          <t>Kortrijk</t>
        </is>
      </c>
      <c r="J28" s="11" t="n"/>
      <c r="K28" s="11" t="inlineStr">
        <is>
          <t>BE</t>
        </is>
      </c>
      <c r="L28" s="11" t="n"/>
      <c r="M28" s="11" t="n"/>
      <c r="N28" s="15" t="inlineStr">
        <is>
          <t>https://izycoffee.be/</t>
        </is>
      </c>
      <c r="O28" s="11" t="n"/>
      <c r="P28" s="11" t="n"/>
      <c r="Q28" s="11" t="n"/>
      <c r="R28" s="11" t="n"/>
      <c r="S28" s="12" t="inlineStr">
        <is>
          <t>Mo-Su 08:00-20:00</t>
        </is>
      </c>
      <c r="T28" s="12" t="n"/>
      <c r="U28" s="13" t="n">
        <v>50.827061</v>
      </c>
      <c r="V28" s="13" t="n">
        <v>3.267766</v>
      </c>
      <c r="W28" s="11" t="inlineStr">
        <is>
          <t>UNVERIFIED</t>
        </is>
      </c>
      <c r="X28" s="12" t="n"/>
      <c r="Y28" s="14" t="n">
        <v>60.9</v>
      </c>
      <c r="Z28" s="12" t="inlineStr">
        <is>
          <t>unverified</t>
        </is>
      </c>
      <c r="AA28" s="12" t="inlineStr">
        <is>
          <t>unverified</t>
        </is>
      </c>
      <c r="AB28" s="12" t="inlineStr">
        <is>
          <t>missing</t>
        </is>
      </c>
      <c r="AC28" s="12" t="inlineStr">
        <is>
          <t>missing</t>
        </is>
      </c>
      <c r="AD28" s="12" t="inlineStr">
        <is>
          <t>missing</t>
        </is>
      </c>
      <c r="AE28" s="11" t="inlineStr">
        <is>
          <t>osm</t>
        </is>
      </c>
      <c r="AF28" s="15" t="inlineStr">
        <is>
          <t>https://www.openstreetmap.org/way/561288931</t>
        </is>
      </c>
      <c r="AG28" s="11" t="n"/>
      <c r="AH28" s="11" t="inlineStr">
        <is>
          <t>2026-09-08T08:53:56+00:00</t>
        </is>
      </c>
      <c r="AI28" s="11" t="n"/>
      <c r="AJ28" s="11" t="n"/>
    </row>
    <row r="29">
      <c r="A29" s="11" t="inlineStr">
        <is>
          <t>KOR-0034</t>
        </is>
      </c>
      <c r="B29" s="11" t="inlineStr">
        <is>
          <t>KVK Jeugdacademie</t>
        </is>
      </c>
      <c r="C29" s="11" t="n"/>
      <c r="D29" s="11" t="inlineStr">
        <is>
          <t>cafe</t>
        </is>
      </c>
      <c r="E29" s="11" t="n"/>
      <c r="F29" s="11" t="n"/>
      <c r="G29" s="11" t="n"/>
      <c r="H29" s="11" t="n"/>
      <c r="I29" s="11" t="inlineStr">
        <is>
          <t>Kortrijk</t>
        </is>
      </c>
      <c r="J29" s="11" t="n"/>
      <c r="K29" s="11" t="inlineStr">
        <is>
          <t>BE</t>
        </is>
      </c>
      <c r="L29" s="11" t="n"/>
      <c r="M29" s="11" t="n"/>
      <c r="N29" s="11" t="n"/>
      <c r="O29" s="11" t="n"/>
      <c r="P29" s="11" t="n"/>
      <c r="Q29" s="11" t="n"/>
      <c r="R29" s="11" t="n"/>
      <c r="S29" s="12" t="n"/>
      <c r="T29" s="12" t="n"/>
      <c r="U29" s="13" t="n">
        <v>50.836885</v>
      </c>
      <c r="V29" s="13" t="n">
        <v>3.255895</v>
      </c>
      <c r="W29" s="11" t="inlineStr">
        <is>
          <t>UNVERIFIED</t>
        </is>
      </c>
      <c r="X29" s="12" t="n"/>
      <c r="Y29" s="14" t="n">
        <v>34.8</v>
      </c>
      <c r="Z29" s="12" t="inlineStr">
        <is>
          <t>unverified</t>
        </is>
      </c>
      <c r="AA29" s="12" t="inlineStr">
        <is>
          <t>missing</t>
        </is>
      </c>
      <c r="AB29" s="12" t="inlineStr">
        <is>
          <t>missing</t>
        </is>
      </c>
      <c r="AC29" s="12" t="inlineStr">
        <is>
          <t>missing</t>
        </is>
      </c>
      <c r="AD29" s="12" t="inlineStr">
        <is>
          <t>missing</t>
        </is>
      </c>
      <c r="AE29" s="11" t="inlineStr">
        <is>
          <t>osm</t>
        </is>
      </c>
      <c r="AF29" s="15" t="inlineStr">
        <is>
          <t>https://www.openstreetmap.org/way/276194080</t>
        </is>
      </c>
      <c r="AG29" s="11" t="n"/>
      <c r="AH29" s="11" t="inlineStr">
        <is>
          <t>2026-09-08T08:53:56+00:00</t>
        </is>
      </c>
      <c r="AI29" s="11" t="n"/>
      <c r="AJ29" s="11" t="n"/>
    </row>
    <row r="30">
      <c r="A30" s="11" t="inlineStr">
        <is>
          <t>KOR-0035</t>
        </is>
      </c>
      <c r="B30" s="11" t="inlineStr">
        <is>
          <t>Le Cou Cou</t>
        </is>
      </c>
      <c r="C30" s="11" t="n"/>
      <c r="D30" s="11" t="inlineStr">
        <is>
          <t>restaurant</t>
        </is>
      </c>
      <c r="E30" s="11" t="inlineStr">
        <is>
          <t>french</t>
        </is>
      </c>
      <c r="F30" s="11" t="inlineStr">
        <is>
          <t>Roodhuisweg</t>
        </is>
      </c>
      <c r="G30" s="11" t="inlineStr">
        <is>
          <t>10</t>
        </is>
      </c>
      <c r="H30" s="11" t="inlineStr">
        <is>
          <t>8510</t>
        </is>
      </c>
      <c r="I30" s="11" t="inlineStr">
        <is>
          <t>Kortrijk</t>
        </is>
      </c>
      <c r="J30" s="11" t="inlineStr">
        <is>
          <t>Bellegem</t>
        </is>
      </c>
      <c r="K30" s="11" t="inlineStr">
        <is>
          <t>BE</t>
        </is>
      </c>
      <c r="L30" s="11" t="inlineStr">
        <is>
          <t>+32 56 49 61 57</t>
        </is>
      </c>
      <c r="M30" s="15" t="inlineStr">
        <is>
          <t>enjoy@lecoucou.be</t>
        </is>
      </c>
      <c r="N30" s="15" t="inlineStr">
        <is>
          <t>https://www.lecoucou.be/</t>
        </is>
      </c>
      <c r="O30" s="11" t="n"/>
      <c r="P30" s="11" t="n"/>
      <c r="Q30" s="11" t="n"/>
      <c r="R30" s="11" t="n"/>
      <c r="S30" s="12" t="n"/>
      <c r="T30" s="12" t="n"/>
      <c r="U30" s="13" t="n">
        <v>50.777897</v>
      </c>
      <c r="V30" s="13" t="n">
        <v>3.283105</v>
      </c>
      <c r="W30" s="11" t="inlineStr">
        <is>
          <t>UNVERIFIED</t>
        </is>
      </c>
      <c r="X30" s="12" t="n"/>
      <c r="Y30" s="14" t="n">
        <v>69.59999999999999</v>
      </c>
      <c r="Z30" s="12" t="inlineStr">
        <is>
          <t>unverified</t>
        </is>
      </c>
      <c r="AA30" s="12" t="inlineStr">
        <is>
          <t>unverified</t>
        </is>
      </c>
      <c r="AB30" s="12" t="inlineStr">
        <is>
          <t>unverified</t>
        </is>
      </c>
      <c r="AC30" s="12" t="inlineStr">
        <is>
          <t>unverified - fixed number (BE)</t>
        </is>
      </c>
      <c r="AD30" s="12" t="inlineStr">
        <is>
          <t>missing</t>
        </is>
      </c>
      <c r="AE30" s="11" t="inlineStr">
        <is>
          <t>osm</t>
        </is>
      </c>
      <c r="AF30" s="15" t="inlineStr">
        <is>
          <t>https://www.openstreetmap.org/node/7734520885</t>
        </is>
      </c>
      <c r="AG30" s="11" t="n"/>
      <c r="AH30" s="11" t="inlineStr">
        <is>
          <t>2026-09-08T08:53:56+00:00</t>
        </is>
      </c>
      <c r="AI30" s="11" t="n"/>
      <c r="AJ30" s="11" t="n"/>
    </row>
    <row r="31">
      <c r="A31" s="11" t="inlineStr">
        <is>
          <t>KOR-0036</t>
        </is>
      </c>
      <c r="B31" s="11" t="inlineStr">
        <is>
          <t>Nagomi Sushi</t>
        </is>
      </c>
      <c r="C31" s="11" t="n"/>
      <c r="D31" s="11" t="inlineStr">
        <is>
          <t>restaurant</t>
        </is>
      </c>
      <c r="E31" s="11" t="inlineStr">
        <is>
          <t>japanese</t>
        </is>
      </c>
      <c r="F31" s="11" t="inlineStr">
        <is>
          <t>Grote Markt</t>
        </is>
      </c>
      <c r="G31" s="11" t="inlineStr">
        <is>
          <t>39</t>
        </is>
      </c>
      <c r="H31" s="11" t="inlineStr">
        <is>
          <t>8500</t>
        </is>
      </c>
      <c r="I31" s="11" t="inlineStr">
        <is>
          <t>Kortrijk</t>
        </is>
      </c>
      <c r="J31" s="11" t="n"/>
      <c r="K31" s="11" t="inlineStr">
        <is>
          <t>BE</t>
        </is>
      </c>
      <c r="L31" s="11" t="inlineStr">
        <is>
          <t>+32 56 21 26 68</t>
        </is>
      </c>
      <c r="M31" s="11" t="n"/>
      <c r="N31" s="15" t="inlineStr">
        <is>
          <t>https://www.nagomisushi.be/</t>
        </is>
      </c>
      <c r="O31" s="11" t="n"/>
      <c r="P31" s="15" t="inlineStr">
        <is>
          <t>https://www.facebook.com/nagomisushi</t>
        </is>
      </c>
      <c r="Q31" s="11" t="n"/>
      <c r="R31" s="11" t="n"/>
      <c r="S31" s="12" t="n"/>
      <c r="T31" s="12" t="n"/>
      <c r="U31" s="13" t="n">
        <v>50.82726</v>
      </c>
      <c r="V31" s="13" t="n">
        <v>3.26548</v>
      </c>
      <c r="W31" s="11" t="inlineStr">
        <is>
          <t>UNVERIFIED</t>
        </is>
      </c>
      <c r="X31" s="12" t="n"/>
      <c r="Y31" s="14" t="n">
        <v>65.2</v>
      </c>
      <c r="Z31" s="12" t="inlineStr">
        <is>
          <t>unverified</t>
        </is>
      </c>
      <c r="AA31" s="12" t="inlineStr">
        <is>
          <t>unverified</t>
        </is>
      </c>
      <c r="AB31" s="12" t="inlineStr">
        <is>
          <t>missing</t>
        </is>
      </c>
      <c r="AC31" s="12" t="inlineStr">
        <is>
          <t>unverified - fixed number (BE)</t>
        </is>
      </c>
      <c r="AD31" s="12" t="inlineStr">
        <is>
          <t>missing</t>
        </is>
      </c>
      <c r="AE31" s="11" t="inlineStr">
        <is>
          <t>osm</t>
        </is>
      </c>
      <c r="AF31" s="15" t="inlineStr">
        <is>
          <t>https://www.openstreetmap.org/node/3841577021</t>
        </is>
      </c>
      <c r="AG31" s="11" t="n"/>
      <c r="AH31" s="11" t="inlineStr">
        <is>
          <t>2026-09-08T08:53:56+00:00</t>
        </is>
      </c>
      <c r="AI31" s="11" t="n"/>
      <c r="AJ31" s="11" t="n"/>
    </row>
    <row r="32">
      <c r="A32" s="11" t="inlineStr">
        <is>
          <t>KOR-0037</t>
        </is>
      </c>
      <c r="B32" s="11" t="inlineStr">
        <is>
          <t>Nata</t>
        </is>
      </c>
      <c r="C32" s="11" t="n"/>
      <c r="D32" s="11" t="inlineStr">
        <is>
          <t>restaurant</t>
        </is>
      </c>
      <c r="E32" s="11" t="n"/>
      <c r="F32" s="11" t="n"/>
      <c r="G32" s="11" t="n"/>
      <c r="H32" s="11" t="n"/>
      <c r="I32" s="11" t="inlineStr">
        <is>
          <t>Kortrijk</t>
        </is>
      </c>
      <c r="J32" s="11" t="n"/>
      <c r="K32" s="11" t="inlineStr">
        <is>
          <t>BE</t>
        </is>
      </c>
      <c r="L32" s="11" t="n"/>
      <c r="M32" s="11" t="n"/>
      <c r="N32" s="15" t="inlineStr">
        <is>
          <t>https://www.natakortrijk.be/</t>
        </is>
      </c>
      <c r="O32" s="11" t="n"/>
      <c r="P32" s="11" t="n"/>
      <c r="Q32" s="11" t="n"/>
      <c r="R32" s="11" t="n"/>
      <c r="S32" s="12" t="n"/>
      <c r="T32" s="12" t="n"/>
      <c r="U32" s="13" t="n">
        <v>50.827916</v>
      </c>
      <c r="V32" s="13" t="n">
        <v>3.265914</v>
      </c>
      <c r="W32" s="11" t="inlineStr">
        <is>
          <t>UNVERIFIED</t>
        </is>
      </c>
      <c r="X32" s="12" t="n"/>
      <c r="Y32" s="14" t="n">
        <v>39.1</v>
      </c>
      <c r="Z32" s="12" t="inlineStr">
        <is>
          <t>unverified</t>
        </is>
      </c>
      <c r="AA32" s="12" t="inlineStr">
        <is>
          <t>unverified</t>
        </is>
      </c>
      <c r="AB32" s="12" t="inlineStr">
        <is>
          <t>missing</t>
        </is>
      </c>
      <c r="AC32" s="12" t="inlineStr">
        <is>
          <t>missing</t>
        </is>
      </c>
      <c r="AD32" s="12" t="inlineStr">
        <is>
          <t>missing</t>
        </is>
      </c>
      <c r="AE32" s="11" t="inlineStr">
        <is>
          <t>osm</t>
        </is>
      </c>
      <c r="AF32" s="15" t="inlineStr">
        <is>
          <t>https://www.openstreetmap.org/node/1345512685</t>
        </is>
      </c>
      <c r="AG32" s="11" t="n"/>
      <c r="AH32" s="11" t="inlineStr">
        <is>
          <t>2026-09-08T08:53:56+00:00</t>
        </is>
      </c>
      <c r="AI32" s="11" t="n"/>
      <c r="AJ32" s="11" t="n"/>
    </row>
    <row r="33">
      <c r="A33" s="11" t="inlineStr">
        <is>
          <t>KOR-0038</t>
        </is>
      </c>
      <c r="B33" s="11" t="inlineStr">
        <is>
          <t>Nude Kortrijk | Middle-Eastern eat-easy bar</t>
        </is>
      </c>
      <c r="C33" s="11" t="n"/>
      <c r="D33" s="11" t="inlineStr">
        <is>
          <t>restaurant</t>
        </is>
      </c>
      <c r="E33" s="11" t="n"/>
      <c r="F33" s="11" t="inlineStr">
        <is>
          <t>Koning Albertstraat</t>
        </is>
      </c>
      <c r="G33" s="11" t="inlineStr">
        <is>
          <t>15</t>
        </is>
      </c>
      <c r="H33" s="11" t="inlineStr">
        <is>
          <t>8500</t>
        </is>
      </c>
      <c r="I33" s="11" t="inlineStr">
        <is>
          <t>Kortrijk</t>
        </is>
      </c>
      <c r="J33" s="11" t="n"/>
      <c r="K33" s="11" t="inlineStr">
        <is>
          <t>BE</t>
        </is>
      </c>
      <c r="L33" s="11" t="inlineStr">
        <is>
          <t>+32 56 90 00 05</t>
        </is>
      </c>
      <c r="M33" s="11" t="n"/>
      <c r="N33" s="15" t="inlineStr">
        <is>
          <t>https://www.nude-kortrijk.be/</t>
        </is>
      </c>
      <c r="O33" s="11" t="n"/>
      <c r="P33" s="11" t="n"/>
      <c r="Q33" s="11" t="n"/>
      <c r="R33" s="11" t="n"/>
      <c r="S33" s="12" t="inlineStr">
        <is>
          <t>Tu-Fr 12:00-14:00, Tu-Fr 17:00-24:00, Sa 12:00-24:00</t>
        </is>
      </c>
      <c r="T33" s="12" t="n"/>
      <c r="U33" s="13" t="n">
        <v>50.825829</v>
      </c>
      <c r="V33" s="13" t="n">
        <v>3.262301</v>
      </c>
      <c r="W33" s="11" t="inlineStr">
        <is>
          <t>UNVERIFIED</t>
        </is>
      </c>
      <c r="X33" s="12" t="n"/>
      <c r="Y33" s="14" t="n">
        <v>60.9</v>
      </c>
      <c r="Z33" s="12" t="inlineStr">
        <is>
          <t>unverified</t>
        </is>
      </c>
      <c r="AA33" s="12" t="inlineStr">
        <is>
          <t>unverified</t>
        </is>
      </c>
      <c r="AB33" s="12" t="inlineStr">
        <is>
          <t>missing</t>
        </is>
      </c>
      <c r="AC33" s="12" t="inlineStr">
        <is>
          <t>unverified - fixed number (BE)</t>
        </is>
      </c>
      <c r="AD33" s="12" t="inlineStr">
        <is>
          <t>missing</t>
        </is>
      </c>
      <c r="AE33" s="11" t="inlineStr">
        <is>
          <t>osm</t>
        </is>
      </c>
      <c r="AF33" s="15" t="inlineStr">
        <is>
          <t>https://www.openstreetmap.org/way/567390704</t>
        </is>
      </c>
      <c r="AG33" s="11" t="n"/>
      <c r="AH33" s="11" t="inlineStr">
        <is>
          <t>2026-09-08T08:53:56+00:00</t>
        </is>
      </c>
      <c r="AI33" s="11" t="n"/>
      <c r="AJ33" s="11" t="n"/>
    </row>
    <row r="34">
      <c r="A34" s="11" t="inlineStr">
        <is>
          <t>KOR-0039</t>
        </is>
      </c>
      <c r="B34" s="11" t="inlineStr">
        <is>
          <t>Oriental</t>
        </is>
      </c>
      <c r="C34" s="11" t="n"/>
      <c r="D34" s="11" t="inlineStr">
        <is>
          <t>restaurant</t>
        </is>
      </c>
      <c r="E34" s="11" t="inlineStr">
        <is>
          <t>chinese</t>
        </is>
      </c>
      <c r="F34" s="11" t="inlineStr">
        <is>
          <t>Onze-Lieve-Vrouwestraat</t>
        </is>
      </c>
      <c r="G34" s="11" t="inlineStr">
        <is>
          <t>23</t>
        </is>
      </c>
      <c r="H34" s="11" t="inlineStr">
        <is>
          <t>8500</t>
        </is>
      </c>
      <c r="I34" s="11" t="inlineStr">
        <is>
          <t>Kortrijk</t>
        </is>
      </c>
      <c r="J34" s="11" t="n"/>
      <c r="K34" s="11" t="inlineStr">
        <is>
          <t>BE</t>
        </is>
      </c>
      <c r="L34" s="11" t="inlineStr">
        <is>
          <t>+32 56 20 26 88</t>
        </is>
      </c>
      <c r="M34" s="11" t="n"/>
      <c r="N34" s="15" t="inlineStr">
        <is>
          <t>http://www.oriental-kortrijk.be/</t>
        </is>
      </c>
      <c r="O34" s="11" t="n"/>
      <c r="P34" s="11" t="n"/>
      <c r="Q34" s="11" t="n"/>
      <c r="R34" s="11" t="n"/>
      <c r="S34" s="12" t="inlineStr">
        <is>
          <t>Mo-Su 12:00-14:30, 18:00-23:30</t>
        </is>
      </c>
      <c r="T34" s="12" t="n"/>
      <c r="U34" s="13" t="n">
        <v>50.828857</v>
      </c>
      <c r="V34" s="13" t="n">
        <v>3.265834</v>
      </c>
      <c r="W34" s="11" t="inlineStr">
        <is>
          <t>UNVERIFIED</t>
        </is>
      </c>
      <c r="X34" s="12" t="n"/>
      <c r="Y34" s="14" t="n">
        <v>65.2</v>
      </c>
      <c r="Z34" s="12" t="inlineStr">
        <is>
          <t>unverified</t>
        </is>
      </c>
      <c r="AA34" s="12" t="inlineStr">
        <is>
          <t>unverified</t>
        </is>
      </c>
      <c r="AB34" s="12" t="inlineStr">
        <is>
          <t>missing</t>
        </is>
      </c>
      <c r="AC34" s="12" t="inlineStr">
        <is>
          <t>unverified - fixed number (BE)</t>
        </is>
      </c>
      <c r="AD34" s="12" t="inlineStr">
        <is>
          <t>missing</t>
        </is>
      </c>
      <c r="AE34" s="11" t="inlineStr">
        <is>
          <t>osm</t>
        </is>
      </c>
      <c r="AF34" s="15" t="inlineStr">
        <is>
          <t>https://www.openstreetmap.org/node/4460059189</t>
        </is>
      </c>
      <c r="AG34" s="11" t="n"/>
      <c r="AH34" s="11" t="inlineStr">
        <is>
          <t>2026-09-08T08:53:56+00:00</t>
        </is>
      </c>
      <c r="AI34" s="11" t="n"/>
      <c r="AJ34" s="11" t="n"/>
    </row>
    <row r="35">
      <c r="A35" s="11" t="inlineStr">
        <is>
          <t>KOR-0040</t>
        </is>
      </c>
      <c r="B35" s="11" t="inlineStr">
        <is>
          <t>Pastaciutta</t>
        </is>
      </c>
      <c r="C35" s="11" t="n"/>
      <c r="D35" s="11" t="inlineStr">
        <is>
          <t>restaurant</t>
        </is>
      </c>
      <c r="E35" s="11" t="inlineStr">
        <is>
          <t>italian</t>
        </is>
      </c>
      <c r="F35" s="11" t="inlineStr">
        <is>
          <t>Magdalenastraat</t>
        </is>
      </c>
      <c r="G35" s="11" t="inlineStr">
        <is>
          <t>15</t>
        </is>
      </c>
      <c r="H35" s="11" t="inlineStr">
        <is>
          <t>8500</t>
        </is>
      </c>
      <c r="I35" s="11" t="inlineStr">
        <is>
          <t>Kortrijk</t>
        </is>
      </c>
      <c r="J35" s="11" t="n"/>
      <c r="K35" s="11" t="inlineStr">
        <is>
          <t>BE</t>
        </is>
      </c>
      <c r="L35" s="11" t="inlineStr">
        <is>
          <t>+32 56 44 64 63</t>
        </is>
      </c>
      <c r="M35" s="11" t="n"/>
      <c r="N35" s="15" t="inlineStr">
        <is>
          <t>https://pastasciutta.be/</t>
        </is>
      </c>
      <c r="O35" s="11" t="n"/>
      <c r="P35" s="11" t="n"/>
      <c r="Q35" s="11" t="n"/>
      <c r="R35" s="11" t="n"/>
      <c r="S35" s="12" t="inlineStr">
        <is>
          <t>Mo-Fr 11:00-15:00, 17:00-21:00; Su 17:00-21:00</t>
        </is>
      </c>
      <c r="T35" s="12" t="n"/>
      <c r="U35" s="13" t="n">
        <v>50.825361</v>
      </c>
      <c r="V35" s="13" t="n">
        <v>3.257609</v>
      </c>
      <c r="W35" s="11" t="inlineStr">
        <is>
          <t>UNVERIFIED</t>
        </is>
      </c>
      <c r="X35" s="12" t="n"/>
      <c r="Y35" s="14" t="n">
        <v>65.2</v>
      </c>
      <c r="Z35" s="12" t="inlineStr">
        <is>
          <t>unverified</t>
        </is>
      </c>
      <c r="AA35" s="12" t="inlineStr">
        <is>
          <t>unverified</t>
        </is>
      </c>
      <c r="AB35" s="12" t="inlineStr">
        <is>
          <t>missing</t>
        </is>
      </c>
      <c r="AC35" s="12" t="inlineStr">
        <is>
          <t>unverified - fixed number (BE)</t>
        </is>
      </c>
      <c r="AD35" s="12" t="inlineStr">
        <is>
          <t>missing</t>
        </is>
      </c>
      <c r="AE35" s="11" t="inlineStr">
        <is>
          <t>osm</t>
        </is>
      </c>
      <c r="AF35" s="15" t="inlineStr">
        <is>
          <t>https://www.openstreetmap.org/node/4594493381</t>
        </is>
      </c>
      <c r="AG35" s="11" t="n"/>
      <c r="AH35" s="11" t="inlineStr">
        <is>
          <t>2026-09-08T08:53:56+00:00</t>
        </is>
      </c>
      <c r="AI35" s="11" t="n"/>
      <c r="AJ35" s="11" t="n"/>
    </row>
    <row r="36">
      <c r="A36" s="11" t="inlineStr">
        <is>
          <t>KOR-0041</t>
        </is>
      </c>
      <c r="B36" s="11" t="inlineStr">
        <is>
          <t>Piccoli</t>
        </is>
      </c>
      <c r="C36" s="11" t="n"/>
      <c r="D36" s="11" t="inlineStr">
        <is>
          <t>cafe</t>
        </is>
      </c>
      <c r="E36" s="11" t="inlineStr">
        <is>
          <t>ice cream</t>
        </is>
      </c>
      <c r="F36" s="11" t="n"/>
      <c r="G36" s="11" t="n"/>
      <c r="H36" s="11" t="n"/>
      <c r="I36" s="11" t="inlineStr">
        <is>
          <t>Kortrijk</t>
        </is>
      </c>
      <c r="J36" s="11" t="n"/>
      <c r="K36" s="11" t="inlineStr">
        <is>
          <t>BE</t>
        </is>
      </c>
      <c r="L36" s="11" t="n"/>
      <c r="M36" s="11" t="n"/>
      <c r="N36" s="15" t="inlineStr">
        <is>
          <t>http://www.piccoli.be/</t>
        </is>
      </c>
      <c r="O36" s="11" t="n"/>
      <c r="P36" s="11" t="n"/>
      <c r="Q36" s="11" t="n"/>
      <c r="R36" s="11" t="n"/>
      <c r="S36" s="12" t="n"/>
      <c r="T36" s="12" t="n"/>
      <c r="U36" s="13" t="n">
        <v>50.827343</v>
      </c>
      <c r="V36" s="13" t="n">
        <v>3.267055</v>
      </c>
      <c r="W36" s="11" t="inlineStr">
        <is>
          <t>UNVERIFIED</t>
        </is>
      </c>
      <c r="X36" s="12" t="n"/>
      <c r="Y36" s="14" t="n">
        <v>43.5</v>
      </c>
      <c r="Z36" s="12" t="inlineStr">
        <is>
          <t>unverified</t>
        </is>
      </c>
      <c r="AA36" s="12" t="inlineStr">
        <is>
          <t>unverified</t>
        </is>
      </c>
      <c r="AB36" s="12" t="inlineStr">
        <is>
          <t>missing</t>
        </is>
      </c>
      <c r="AC36" s="12" t="inlineStr">
        <is>
          <t>missing</t>
        </is>
      </c>
      <c r="AD36" s="12" t="inlineStr">
        <is>
          <t>missing</t>
        </is>
      </c>
      <c r="AE36" s="11" t="inlineStr">
        <is>
          <t>osm</t>
        </is>
      </c>
      <c r="AF36" s="15" t="inlineStr">
        <is>
          <t>https://www.openstreetmap.org/node/3841537245</t>
        </is>
      </c>
      <c r="AG36" s="11" t="n"/>
      <c r="AH36" s="11" t="inlineStr">
        <is>
          <t>2026-09-08T08:53:56+00:00</t>
        </is>
      </c>
      <c r="AI36" s="11" t="n"/>
      <c r="AJ36" s="11" t="n"/>
    </row>
    <row r="37">
      <c r="A37" s="11" t="inlineStr">
        <is>
          <t>KOR-0042</t>
        </is>
      </c>
      <c r="B37" s="11" t="inlineStr">
        <is>
          <t>Pizza Hut</t>
        </is>
      </c>
      <c r="C37" s="11" t="n"/>
      <c r="D37" s="11" t="inlineStr">
        <is>
          <t>restaurant</t>
        </is>
      </c>
      <c r="E37" s="11" t="inlineStr">
        <is>
          <t>pizza</t>
        </is>
      </c>
      <c r="F37" s="11" t="inlineStr">
        <is>
          <t>President Kennedylaan</t>
        </is>
      </c>
      <c r="G37" s="11" t="inlineStr">
        <is>
          <t>100</t>
        </is>
      </c>
      <c r="H37" s="11" t="inlineStr">
        <is>
          <t>8500</t>
        </is>
      </c>
      <c r="I37" s="11" t="inlineStr">
        <is>
          <t>Kortrijk</t>
        </is>
      </c>
      <c r="J37" s="11" t="n"/>
      <c r="K37" s="11" t="inlineStr">
        <is>
          <t>BE</t>
        </is>
      </c>
      <c r="L37" s="11" t="n"/>
      <c r="M37" s="11" t="n"/>
      <c r="N37" s="15" t="inlineStr">
        <is>
          <t>https://restaurants.pizzahut.be/restaurant/restaurant-kortrijk-kinepolis</t>
        </is>
      </c>
      <c r="O37" s="11" t="n"/>
      <c r="P37" s="11" t="n"/>
      <c r="Q37" s="11" t="n"/>
      <c r="R37" s="11" t="n"/>
      <c r="S37" s="12" t="n"/>
      <c r="T37" s="12" t="n"/>
      <c r="U37" s="13" t="n">
        <v>50.805169</v>
      </c>
      <c r="V37" s="13" t="n">
        <v>3.274961</v>
      </c>
      <c r="W37" s="11" t="inlineStr">
        <is>
          <t>UNVERIFIED</t>
        </is>
      </c>
      <c r="X37" s="12" t="n"/>
      <c r="Y37" s="14" t="n">
        <v>56.5</v>
      </c>
      <c r="Z37" s="12" t="inlineStr">
        <is>
          <t>unverified</t>
        </is>
      </c>
      <c r="AA37" s="12" t="inlineStr">
        <is>
          <t>unverified</t>
        </is>
      </c>
      <c r="AB37" s="12" t="inlineStr">
        <is>
          <t>missing</t>
        </is>
      </c>
      <c r="AC37" s="12" t="inlineStr">
        <is>
          <t>missing</t>
        </is>
      </c>
      <c r="AD37" s="12" t="inlineStr">
        <is>
          <t>missing</t>
        </is>
      </c>
      <c r="AE37" s="11" t="inlineStr">
        <is>
          <t>osm</t>
        </is>
      </c>
      <c r="AF37" s="15" t="inlineStr">
        <is>
          <t>https://www.openstreetmap.org/node/6598795472</t>
        </is>
      </c>
      <c r="AG37" s="11" t="n"/>
      <c r="AH37" s="11" t="inlineStr">
        <is>
          <t>2026-09-08T08:53:56+00:00</t>
        </is>
      </c>
      <c r="AI37" s="11" t="n"/>
      <c r="AJ37" s="11" t="n"/>
    </row>
    <row r="38">
      <c r="A38" s="11" t="inlineStr">
        <is>
          <t>KOR-0043</t>
        </is>
      </c>
      <c r="B38" s="11" t="inlineStr">
        <is>
          <t>Pizzeria Primavera</t>
        </is>
      </c>
      <c r="C38" s="11" t="n"/>
      <c r="D38" s="11" t="inlineStr">
        <is>
          <t>restaurant</t>
        </is>
      </c>
      <c r="E38" s="11" t="inlineStr">
        <is>
          <t>pizza</t>
        </is>
      </c>
      <c r="F38" s="11" t="inlineStr">
        <is>
          <t>Lange Munteplein</t>
        </is>
      </c>
      <c r="G38" s="11" t="inlineStr">
        <is>
          <t>7</t>
        </is>
      </c>
      <c r="H38" s="11" t="inlineStr">
        <is>
          <t>8500</t>
        </is>
      </c>
      <c r="I38" s="11" t="inlineStr">
        <is>
          <t>Kortrijk</t>
        </is>
      </c>
      <c r="J38" s="11" t="n"/>
      <c r="K38" s="11" t="inlineStr">
        <is>
          <t>BE</t>
        </is>
      </c>
      <c r="L38" s="11" t="n"/>
      <c r="M38" s="11" t="n"/>
      <c r="N38" s="11" t="n"/>
      <c r="O38" s="11" t="n"/>
      <c r="P38" s="11" t="n"/>
      <c r="Q38" s="11" t="n"/>
      <c r="R38" s="11" t="n"/>
      <c r="S38" s="12" t="inlineStr">
        <is>
          <t>Tu-Su 18:00-22:00</t>
        </is>
      </c>
      <c r="T38" s="12" t="n"/>
      <c r="U38" s="13" t="n">
        <v>50.810781</v>
      </c>
      <c r="V38" s="13" t="n">
        <v>3.298633</v>
      </c>
      <c r="W38" s="11" t="inlineStr">
        <is>
          <t>UNVERIFIED</t>
        </is>
      </c>
      <c r="X38" s="12" t="n"/>
      <c r="Y38" s="14" t="n">
        <v>56.5</v>
      </c>
      <c r="Z38" s="12" t="inlineStr">
        <is>
          <t>unverified</t>
        </is>
      </c>
      <c r="AA38" s="12" t="inlineStr">
        <is>
          <t>missing</t>
        </is>
      </c>
      <c r="AB38" s="12" t="inlineStr">
        <is>
          <t>missing</t>
        </is>
      </c>
      <c r="AC38" s="12" t="inlineStr">
        <is>
          <t>missing</t>
        </is>
      </c>
      <c r="AD38" s="12" t="inlineStr">
        <is>
          <t>missing</t>
        </is>
      </c>
      <c r="AE38" s="11" t="inlineStr">
        <is>
          <t>osm</t>
        </is>
      </c>
      <c r="AF38" s="15" t="inlineStr">
        <is>
          <t>https://www.openstreetmap.org/node/737246925</t>
        </is>
      </c>
      <c r="AG38" s="11" t="n"/>
      <c r="AH38" s="11" t="inlineStr">
        <is>
          <t>2026-09-08T08:53:56+00:00</t>
        </is>
      </c>
      <c r="AI38" s="11" t="n"/>
      <c r="AJ38" s="11" t="n"/>
    </row>
    <row r="39">
      <c r="A39" s="11" t="inlineStr">
        <is>
          <t>KOR-0044</t>
        </is>
      </c>
      <c r="B39" s="11" t="inlineStr">
        <is>
          <t>Pizzeria Ristorante l'Osteria</t>
        </is>
      </c>
      <c r="C39" s="11" t="n"/>
      <c r="D39" s="11" t="inlineStr">
        <is>
          <t>restaurant</t>
        </is>
      </c>
      <c r="E39" s="11" t="inlineStr">
        <is>
          <t>pizza</t>
        </is>
      </c>
      <c r="F39" s="11" t="inlineStr">
        <is>
          <t>Grote Markt</t>
        </is>
      </c>
      <c r="G39" s="11" t="inlineStr">
        <is>
          <t>27</t>
        </is>
      </c>
      <c r="H39" s="11" t="inlineStr">
        <is>
          <t>8500</t>
        </is>
      </c>
      <c r="I39" s="11" t="inlineStr">
        <is>
          <t>Kortrijk</t>
        </is>
      </c>
      <c r="J39" s="11" t="n"/>
      <c r="K39" s="11" t="inlineStr">
        <is>
          <t>BE</t>
        </is>
      </c>
      <c r="L39" s="11" t="n"/>
      <c r="M39" s="11" t="n"/>
      <c r="N39" s="15" t="inlineStr">
        <is>
          <t>https://www.l-osteria.be/</t>
        </is>
      </c>
      <c r="O39" s="11" t="n"/>
      <c r="P39" s="11" t="n"/>
      <c r="Q39" s="11" t="n"/>
      <c r="R39" s="11" t="n"/>
      <c r="S39" s="12" t="inlineStr">
        <is>
          <t>Tu 18:30-22:00; We-Su 12:00-14:00, 18:30-22:00</t>
        </is>
      </c>
      <c r="T39" s="12" t="n"/>
      <c r="U39" s="13" t="n">
        <v>50.827332</v>
      </c>
      <c r="V39" s="13" t="n">
        <v>3.266981</v>
      </c>
      <c r="W39" s="11" t="inlineStr">
        <is>
          <t>UNVERIFIED</t>
        </is>
      </c>
      <c r="X39" s="12" t="n"/>
      <c r="Y39" s="14" t="n">
        <v>60.9</v>
      </c>
      <c r="Z39" s="12" t="inlineStr">
        <is>
          <t>unverified</t>
        </is>
      </c>
      <c r="AA39" s="12" t="inlineStr">
        <is>
          <t>unverified</t>
        </is>
      </c>
      <c r="AB39" s="12" t="inlineStr">
        <is>
          <t>missing</t>
        </is>
      </c>
      <c r="AC39" s="12" t="inlineStr">
        <is>
          <t>missing</t>
        </is>
      </c>
      <c r="AD39" s="12" t="inlineStr">
        <is>
          <t>missing</t>
        </is>
      </c>
      <c r="AE39" s="11" t="inlineStr">
        <is>
          <t>osm</t>
        </is>
      </c>
      <c r="AF39" s="15" t="inlineStr">
        <is>
          <t>https://www.openstreetmap.org/node/3841537246</t>
        </is>
      </c>
      <c r="AG39" s="11" t="n"/>
      <c r="AH39" s="11" t="inlineStr">
        <is>
          <t>2026-09-08T08:53:56+00:00</t>
        </is>
      </c>
      <c r="AI39" s="11" t="n"/>
      <c r="AJ39" s="11" t="n"/>
    </row>
    <row r="40">
      <c r="A40" s="11" t="inlineStr">
        <is>
          <t>KOR-0045</t>
        </is>
      </c>
      <c r="B40" s="11" t="inlineStr">
        <is>
          <t>Pizzi Cotto</t>
        </is>
      </c>
      <c r="C40" s="11" t="n"/>
      <c r="D40" s="11" t="inlineStr">
        <is>
          <t>restaurant</t>
        </is>
      </c>
      <c r="E40" s="11" t="inlineStr">
        <is>
          <t>pizza</t>
        </is>
      </c>
      <c r="F40" s="11" t="n"/>
      <c r="G40" s="11" t="n"/>
      <c r="H40" s="11" t="n"/>
      <c r="I40" s="11" t="inlineStr">
        <is>
          <t>Kortrijk</t>
        </is>
      </c>
      <c r="J40" s="11" t="n"/>
      <c r="K40" s="11" t="inlineStr">
        <is>
          <t>BE</t>
        </is>
      </c>
      <c r="L40" s="11" t="inlineStr">
        <is>
          <t>+32 56 21 00 18</t>
        </is>
      </c>
      <c r="M40" s="15" t="inlineStr">
        <is>
          <t>info@pizzicotto.be</t>
        </is>
      </c>
      <c r="N40" s="15" t="inlineStr">
        <is>
          <t>https://www.pizzicotto.be/</t>
        </is>
      </c>
      <c r="O40" s="11" t="n"/>
      <c r="P40" s="15" t="inlineStr">
        <is>
          <t>https://www.facebook.com/Emilia.Anton1988</t>
        </is>
      </c>
      <c r="Q40" s="11" t="n"/>
      <c r="R40" s="11" t="n"/>
      <c r="S40" s="12" t="n"/>
      <c r="T40" s="12" t="n"/>
      <c r="U40" s="13" t="n">
        <v>50.826433</v>
      </c>
      <c r="V40" s="13" t="n">
        <v>3.271227</v>
      </c>
      <c r="W40" s="11" t="inlineStr">
        <is>
          <t>UNVERIFIED</t>
        </is>
      </c>
      <c r="X40" s="12" t="n"/>
      <c r="Y40" s="14" t="n">
        <v>56.5</v>
      </c>
      <c r="Z40" s="12" t="inlineStr">
        <is>
          <t>unverified</t>
        </is>
      </c>
      <c r="AA40" s="12" t="inlineStr">
        <is>
          <t>unverified</t>
        </is>
      </c>
      <c r="AB40" s="12" t="inlineStr">
        <is>
          <t>unverified</t>
        </is>
      </c>
      <c r="AC40" s="12" t="inlineStr">
        <is>
          <t>unverified - fixed number (BE)</t>
        </is>
      </c>
      <c r="AD40" s="12" t="inlineStr">
        <is>
          <t>missing</t>
        </is>
      </c>
      <c r="AE40" s="11" t="inlineStr">
        <is>
          <t>osm</t>
        </is>
      </c>
      <c r="AF40" s="15" t="inlineStr">
        <is>
          <t>https://www.openstreetmap.org/node/12294108325</t>
        </is>
      </c>
      <c r="AG40" s="11" t="n"/>
      <c r="AH40" s="11" t="inlineStr">
        <is>
          <t>2026-09-08T08:53:56+00:00</t>
        </is>
      </c>
      <c r="AI40" s="11" t="n"/>
      <c r="AJ40" s="11" t="n"/>
    </row>
    <row r="41">
      <c r="A41" s="11" t="inlineStr">
        <is>
          <t>KOR-0046</t>
        </is>
      </c>
      <c r="B41" s="11" t="inlineStr">
        <is>
          <t>Ripasso</t>
        </is>
      </c>
      <c r="C41" s="11" t="n"/>
      <c r="D41" s="11" t="inlineStr">
        <is>
          <t>restaurant</t>
        </is>
      </c>
      <c r="E41" s="11" t="n"/>
      <c r="F41" s="11" t="n"/>
      <c r="G41" s="11" t="n"/>
      <c r="H41" s="11" t="n"/>
      <c r="I41" s="11" t="inlineStr">
        <is>
          <t>Kortrijk</t>
        </is>
      </c>
      <c r="J41" s="11" t="n"/>
      <c r="K41" s="11" t="inlineStr">
        <is>
          <t>BE</t>
        </is>
      </c>
      <c r="L41" s="11" t="inlineStr">
        <is>
          <t>+32 475 75 60 65</t>
        </is>
      </c>
      <c r="M41" s="15" t="inlineStr">
        <is>
          <t>info@ripasso.be</t>
        </is>
      </c>
      <c r="N41" s="15" t="inlineStr">
        <is>
          <t>http://www.ripasso.be/</t>
        </is>
      </c>
      <c r="O41" s="11" t="n"/>
      <c r="P41" s="11" t="n"/>
      <c r="Q41" s="11" t="n"/>
      <c r="R41" s="11" t="n"/>
      <c r="S41" s="12" t="n"/>
      <c r="T41" s="12" t="n"/>
      <c r="U41" s="13" t="n">
        <v>50.813911</v>
      </c>
      <c r="V41" s="13" t="n">
        <v>3.242683</v>
      </c>
      <c r="W41" s="11" t="inlineStr">
        <is>
          <t>UNVERIFIED</t>
        </is>
      </c>
      <c r="X41" s="12" t="n"/>
      <c r="Y41" s="14" t="n">
        <v>47.8</v>
      </c>
      <c r="Z41" s="12" t="inlineStr">
        <is>
          <t>unverified</t>
        </is>
      </c>
      <c r="AA41" s="12" t="inlineStr">
        <is>
          <t>unverified</t>
        </is>
      </c>
      <c r="AB41" s="12" t="inlineStr">
        <is>
          <t>unverified</t>
        </is>
      </c>
      <c r="AC41" s="12" t="inlineStr">
        <is>
          <t>unverified - mobile number (BE)</t>
        </is>
      </c>
      <c r="AD41" s="12" t="inlineStr">
        <is>
          <t>missing</t>
        </is>
      </c>
      <c r="AE41" s="11" t="inlineStr">
        <is>
          <t>osm</t>
        </is>
      </c>
      <c r="AF41" s="15" t="inlineStr">
        <is>
          <t>https://www.openstreetmap.org/node/10168651060</t>
        </is>
      </c>
      <c r="AG41" s="11" t="n"/>
      <c r="AH41" s="11" t="inlineStr">
        <is>
          <t>2026-09-08T08:53:56+00:00</t>
        </is>
      </c>
      <c r="AI41" s="11" t="n"/>
      <c r="AJ41" s="11" t="n"/>
    </row>
    <row r="42">
      <c r="A42" s="11" t="inlineStr">
        <is>
          <t>KOR-0047</t>
        </is>
      </c>
      <c r="B42" s="11" t="inlineStr">
        <is>
          <t>Saint-Christophe</t>
        </is>
      </c>
      <c r="C42" s="11" t="n"/>
      <c r="D42" s="11" t="inlineStr">
        <is>
          <t>restaurant</t>
        </is>
      </c>
      <c r="E42" s="11" t="n"/>
      <c r="F42" s="11" t="n"/>
      <c r="G42" s="11" t="n"/>
      <c r="H42" s="11" t="n"/>
      <c r="I42" s="11" t="inlineStr">
        <is>
          <t>Kortrijk</t>
        </is>
      </c>
      <c r="J42" s="11" t="n"/>
      <c r="K42" s="11" t="inlineStr">
        <is>
          <t>BE</t>
        </is>
      </c>
      <c r="L42" s="11" t="n"/>
      <c r="M42" s="11" t="n"/>
      <c r="N42" s="15" t="inlineStr">
        <is>
          <t>https://www.stchristophe.be/</t>
        </is>
      </c>
      <c r="O42" s="11" t="n"/>
      <c r="P42" s="11" t="n"/>
      <c r="Q42" s="11" t="n"/>
      <c r="R42" s="11" t="n"/>
      <c r="S42" s="12" t="inlineStr">
        <is>
          <t>Tu 12:15-13:30; We-Fr 12:15-13:30, 19:15-21:00; Sa 19:15-21:00; Su 12:15-13:30</t>
        </is>
      </c>
      <c r="T42" s="12" t="n"/>
      <c r="U42" s="13" t="n">
        <v>50.823828</v>
      </c>
      <c r="V42" s="13" t="n">
        <v>3.266805</v>
      </c>
      <c r="W42" s="11" t="inlineStr">
        <is>
          <t>UNVERIFIED</t>
        </is>
      </c>
      <c r="X42" s="12" t="n"/>
      <c r="Y42" s="14" t="n">
        <v>43.5</v>
      </c>
      <c r="Z42" s="12" t="inlineStr">
        <is>
          <t>unverified</t>
        </is>
      </c>
      <c r="AA42" s="12" t="inlineStr">
        <is>
          <t>unverified</t>
        </is>
      </c>
      <c r="AB42" s="12" t="inlineStr">
        <is>
          <t>missing</t>
        </is>
      </c>
      <c r="AC42" s="12" t="inlineStr">
        <is>
          <t>missing</t>
        </is>
      </c>
      <c r="AD42" s="12" t="inlineStr">
        <is>
          <t>missing</t>
        </is>
      </c>
      <c r="AE42" s="11" t="inlineStr">
        <is>
          <t>osm</t>
        </is>
      </c>
      <c r="AF42" s="15" t="inlineStr">
        <is>
          <t>https://www.openstreetmap.org/node/7123362537</t>
        </is>
      </c>
      <c r="AG42" s="11" t="n"/>
      <c r="AH42" s="11" t="inlineStr">
        <is>
          <t>2026-09-08T08:53:56+00:00</t>
        </is>
      </c>
      <c r="AI42" s="11" t="n"/>
      <c r="AJ42" s="11" t="n"/>
    </row>
    <row r="43">
      <c r="A43" s="11" t="inlineStr">
        <is>
          <t>KOR-0048</t>
        </is>
      </c>
      <c r="B43" s="11" t="inlineStr">
        <is>
          <t>Saint-Cornil</t>
        </is>
      </c>
      <c r="C43" s="11" t="n"/>
      <c r="D43" s="11" t="inlineStr">
        <is>
          <t>restaurant</t>
        </is>
      </c>
      <c r="E43" s="11" t="inlineStr">
        <is>
          <t>steak house</t>
        </is>
      </c>
      <c r="F43" s="11" t="inlineStr">
        <is>
          <t>Aalbekeplaats</t>
        </is>
      </c>
      <c r="G43" s="11" t="inlineStr">
        <is>
          <t>15</t>
        </is>
      </c>
      <c r="H43" s="11" t="inlineStr">
        <is>
          <t>8511</t>
        </is>
      </c>
      <c r="I43" s="11" t="inlineStr">
        <is>
          <t>Kortrijk</t>
        </is>
      </c>
      <c r="J43" s="11" t="inlineStr">
        <is>
          <t>Aalbeke</t>
        </is>
      </c>
      <c r="K43" s="11" t="inlineStr">
        <is>
          <t>BE</t>
        </is>
      </c>
      <c r="L43" s="11" t="inlineStr">
        <is>
          <t>+32 56 41 35 23</t>
        </is>
      </c>
      <c r="M43" s="11" t="n"/>
      <c r="N43" s="15" t="inlineStr">
        <is>
          <t>https://www.st-cornil-aalbeke.be/</t>
        </is>
      </c>
      <c r="O43" s="11" t="n"/>
      <c r="P43" s="11" t="n"/>
      <c r="Q43" s="11" t="n"/>
      <c r="R43" s="11" t="n"/>
      <c r="S43" s="12" t="inlineStr">
        <is>
          <t>Mo-Fr 12:00-14:00,19:30-22:00; Sa-Su,PH off</t>
        </is>
      </c>
      <c r="T43" s="12" t="n"/>
      <c r="U43" s="13" t="n">
        <v>50.779214</v>
      </c>
      <c r="V43" s="13" t="n">
        <v>3.230881</v>
      </c>
      <c r="W43" s="11" t="inlineStr">
        <is>
          <t>UNVERIFIED</t>
        </is>
      </c>
      <c r="X43" s="12" t="n"/>
      <c r="Y43" s="14" t="n">
        <v>69.59999999999999</v>
      </c>
      <c r="Z43" s="12" t="inlineStr">
        <is>
          <t>unverified</t>
        </is>
      </c>
      <c r="AA43" s="12" t="inlineStr">
        <is>
          <t>unverified</t>
        </is>
      </c>
      <c r="AB43" s="12" t="inlineStr">
        <is>
          <t>missing</t>
        </is>
      </c>
      <c r="AC43" s="12" t="inlineStr">
        <is>
          <t>unverified - fixed number (BE)</t>
        </is>
      </c>
      <c r="AD43" s="12" t="inlineStr">
        <is>
          <t>missing</t>
        </is>
      </c>
      <c r="AE43" s="11" t="inlineStr">
        <is>
          <t>osm</t>
        </is>
      </c>
      <c r="AF43" s="15" t="inlineStr">
        <is>
          <t>https://www.openstreetmap.org/node/2729766962</t>
        </is>
      </c>
      <c r="AG43" s="11" t="n"/>
      <c r="AH43" s="11" t="inlineStr">
        <is>
          <t>2026-09-08T08:53:56+00:00</t>
        </is>
      </c>
      <c r="AI43" s="11" t="n"/>
      <c r="AJ43" s="11" t="n"/>
    </row>
    <row r="44">
      <c r="A44" s="11" t="inlineStr">
        <is>
          <t>KOR-0049</t>
        </is>
      </c>
      <c r="B44" s="11" t="inlineStr">
        <is>
          <t>Sint Georges</t>
        </is>
      </c>
      <c r="C44" s="11" t="n"/>
      <c r="D44" s="11" t="inlineStr">
        <is>
          <t>restaurant</t>
        </is>
      </c>
      <c r="E44" s="11" t="n"/>
      <c r="F44" s="11" t="n"/>
      <c r="G44" s="11" t="n"/>
      <c r="H44" s="11" t="n"/>
      <c r="I44" s="11" t="inlineStr">
        <is>
          <t>Kortrijk</t>
        </is>
      </c>
      <c r="J44" s="11" t="n"/>
      <c r="K44" s="11" t="inlineStr">
        <is>
          <t>BE</t>
        </is>
      </c>
      <c r="L44" s="11" t="n"/>
      <c r="M44" s="11" t="n"/>
      <c r="N44" s="15" t="inlineStr">
        <is>
          <t>https://www.restaurantstgeorges.com/</t>
        </is>
      </c>
      <c r="O44" s="11" t="n"/>
      <c r="P44" s="11" t="n"/>
      <c r="Q44" s="11" t="n"/>
      <c r="R44" s="11" t="n"/>
      <c r="S44" s="12" t="n"/>
      <c r="T44" s="12" t="n"/>
      <c r="U44" s="13" t="n">
        <v>50.778853</v>
      </c>
      <c r="V44" s="13" t="n">
        <v>3.230064</v>
      </c>
      <c r="W44" s="11" t="inlineStr">
        <is>
          <t>UNVERIFIED</t>
        </is>
      </c>
      <c r="X44" s="12" t="n"/>
      <c r="Y44" s="14" t="n">
        <v>39.1</v>
      </c>
      <c r="Z44" s="12" t="inlineStr">
        <is>
          <t>unverified</t>
        </is>
      </c>
      <c r="AA44" s="12" t="inlineStr">
        <is>
          <t>unverified</t>
        </is>
      </c>
      <c r="AB44" s="12" t="inlineStr">
        <is>
          <t>missing</t>
        </is>
      </c>
      <c r="AC44" s="12" t="inlineStr">
        <is>
          <t>missing</t>
        </is>
      </c>
      <c r="AD44" s="12" t="inlineStr">
        <is>
          <t>missing</t>
        </is>
      </c>
      <c r="AE44" s="11" t="inlineStr">
        <is>
          <t>osm</t>
        </is>
      </c>
      <c r="AF44" s="15" t="inlineStr">
        <is>
          <t>https://www.openstreetmap.org/node/790036984</t>
        </is>
      </c>
      <c r="AG44" s="11" t="n"/>
      <c r="AH44" s="11" t="inlineStr">
        <is>
          <t>2026-09-08T08:53:56+00:00</t>
        </is>
      </c>
      <c r="AI44" s="11" t="n"/>
      <c r="AJ44" s="11" t="n"/>
    </row>
    <row r="45">
      <c r="A45" s="11" t="inlineStr">
        <is>
          <t>KOR-0051</t>
        </is>
      </c>
      <c r="B45" s="11" t="inlineStr">
        <is>
          <t>Tarterie</t>
        </is>
      </c>
      <c r="C45" s="11" t="n"/>
      <c r="D45" s="11" t="inlineStr">
        <is>
          <t>cafe</t>
        </is>
      </c>
      <c r="E45" s="11" t="n"/>
      <c r="F45" s="11" t="inlineStr">
        <is>
          <t>Grote Markt</t>
        </is>
      </c>
      <c r="G45" s="11" t="inlineStr">
        <is>
          <t>44</t>
        </is>
      </c>
      <c r="H45" s="11" t="inlineStr">
        <is>
          <t>8500</t>
        </is>
      </c>
      <c r="I45" s="11" t="inlineStr">
        <is>
          <t>Kortrijk</t>
        </is>
      </c>
      <c r="J45" s="11" t="n"/>
      <c r="K45" s="11" t="inlineStr">
        <is>
          <t>BE</t>
        </is>
      </c>
      <c r="L45" s="11" t="n"/>
      <c r="M45" s="11" t="n"/>
      <c r="N45" s="15" t="inlineStr">
        <is>
          <t>https://www.tarterie.be/</t>
        </is>
      </c>
      <c r="O45" s="11" t="n"/>
      <c r="P45" s="15" t="inlineStr">
        <is>
          <t>https://www.facebook.com/Tarterie.be</t>
        </is>
      </c>
      <c r="Q45" s="11" t="n"/>
      <c r="R45" s="11" t="n"/>
      <c r="S45" s="12" t="n"/>
      <c r="T45" s="12" t="n"/>
      <c r="U45" s="13" t="n">
        <v>50.827424</v>
      </c>
      <c r="V45" s="13" t="n">
        <v>3.265239</v>
      </c>
      <c r="W45" s="11" t="inlineStr">
        <is>
          <t>UNVERIFIED</t>
        </is>
      </c>
      <c r="X45" s="12" t="n"/>
      <c r="Y45" s="14" t="n">
        <v>56.5</v>
      </c>
      <c r="Z45" s="12" t="inlineStr">
        <is>
          <t>unverified</t>
        </is>
      </c>
      <c r="AA45" s="12" t="inlineStr">
        <is>
          <t>unverified</t>
        </is>
      </c>
      <c r="AB45" s="12" t="inlineStr">
        <is>
          <t>missing</t>
        </is>
      </c>
      <c r="AC45" s="12" t="inlineStr">
        <is>
          <t>missing</t>
        </is>
      </c>
      <c r="AD45" s="12" t="inlineStr">
        <is>
          <t>missing</t>
        </is>
      </c>
      <c r="AE45" s="11" t="inlineStr">
        <is>
          <t>osm</t>
        </is>
      </c>
      <c r="AF45" s="15" t="inlineStr">
        <is>
          <t>https://www.openstreetmap.org/node/3855250816</t>
        </is>
      </c>
      <c r="AG45" s="11" t="n"/>
      <c r="AH45" s="11" t="inlineStr">
        <is>
          <t>2026-09-08T08:53:56+00:00</t>
        </is>
      </c>
      <c r="AI45" s="11" t="n"/>
      <c r="AJ45" s="11" t="n"/>
    </row>
    <row r="46">
      <c r="A46" s="11" t="inlineStr">
        <is>
          <t>KOR-0054</t>
        </is>
      </c>
      <c r="B46" s="11" t="inlineStr">
        <is>
          <t>Vesper</t>
        </is>
      </c>
      <c r="C46" s="11" t="n"/>
      <c r="D46" s="11" t="inlineStr">
        <is>
          <t>restaurant</t>
        </is>
      </c>
      <c r="E46" s="11" t="n"/>
      <c r="F46" s="11" t="inlineStr">
        <is>
          <t>Voorstraat</t>
        </is>
      </c>
      <c r="G46" s="11" t="inlineStr">
        <is>
          <t>34</t>
        </is>
      </c>
      <c r="H46" s="11" t="inlineStr">
        <is>
          <t>8500</t>
        </is>
      </c>
      <c r="I46" s="11" t="inlineStr">
        <is>
          <t>Kortrijk</t>
        </is>
      </c>
      <c r="J46" s="11" t="n"/>
      <c r="K46" s="11" t="inlineStr">
        <is>
          <t>BE</t>
        </is>
      </c>
      <c r="L46" s="11" t="inlineStr">
        <is>
          <t>+32 472 35 49 04</t>
        </is>
      </c>
      <c r="M46" s="15" t="inlineStr">
        <is>
          <t>info@vesperkortrijk.be</t>
        </is>
      </c>
      <c r="N46" s="15" t="inlineStr">
        <is>
          <t>https://www.vesperkortrijk.be/</t>
        </is>
      </c>
      <c r="O46" s="11" t="n"/>
      <c r="P46" s="15" t="inlineStr">
        <is>
          <t>https://www.facebook.com/vesperkortrijk</t>
        </is>
      </c>
      <c r="Q46" s="15" t="inlineStr">
        <is>
          <t>https://www.instagram.com/vesperkortrijk</t>
        </is>
      </c>
      <c r="R46" s="11" t="n"/>
      <c r="S46" s="12" t="inlineStr">
        <is>
          <t>Mo 11:45-14:00; Tu-Th 11:45-14:00,18:30-21:00; Fr 11:45-14:00,18:00-21:30; Sa 11:45-14:30,18:00-21:30</t>
        </is>
      </c>
      <c r="T46" s="12" t="n"/>
      <c r="U46" s="13" t="n">
        <v>50.827892</v>
      </c>
      <c r="V46" s="13" t="n">
        <v>3.2718</v>
      </c>
      <c r="W46" s="11" t="inlineStr">
        <is>
          <t>UNVERIFIED</t>
        </is>
      </c>
      <c r="X46" s="12" t="n"/>
      <c r="Y46" s="14" t="n">
        <v>73.90000000000001</v>
      </c>
      <c r="Z46" s="12" t="inlineStr">
        <is>
          <t>unverified</t>
        </is>
      </c>
      <c r="AA46" s="12" t="inlineStr">
        <is>
          <t>unverified</t>
        </is>
      </c>
      <c r="AB46" s="12" t="inlineStr">
        <is>
          <t>unverified</t>
        </is>
      </c>
      <c r="AC46" s="12" t="inlineStr">
        <is>
          <t>unverified - mobile number (BE)</t>
        </is>
      </c>
      <c r="AD46" s="12" t="inlineStr">
        <is>
          <t>missing</t>
        </is>
      </c>
      <c r="AE46" s="11" t="inlineStr">
        <is>
          <t>osm</t>
        </is>
      </c>
      <c r="AF46" s="15" t="inlineStr">
        <is>
          <t>https://www.openstreetmap.org/node/10082074964</t>
        </is>
      </c>
      <c r="AG46" s="11" t="n"/>
      <c r="AH46" s="11" t="inlineStr">
        <is>
          <t>2026-09-08T08:53:56+00:00</t>
        </is>
      </c>
      <c r="AI46" s="11" t="n"/>
      <c r="AJ46" s="11" t="n"/>
    </row>
    <row r="47">
      <c r="A47" s="11" t="inlineStr">
        <is>
          <t>KOR-0056</t>
        </is>
      </c>
      <c r="B47" s="11" t="inlineStr">
        <is>
          <t>Wilmanda's Coffee</t>
        </is>
      </c>
      <c r="C47" s="11" t="n"/>
      <c r="D47" s="11" t="inlineStr">
        <is>
          <t>cafe</t>
        </is>
      </c>
      <c r="E47" s="11" t="n"/>
      <c r="F47" s="11" t="inlineStr">
        <is>
          <t>Lange Steenstraat</t>
        </is>
      </c>
      <c r="G47" s="11" t="inlineStr">
        <is>
          <t>13A</t>
        </is>
      </c>
      <c r="H47" s="11" t="n"/>
      <c r="I47" s="11" t="inlineStr">
        <is>
          <t>Kortrijk</t>
        </is>
      </c>
      <c r="J47" s="11" t="n"/>
      <c r="K47" s="11" t="inlineStr">
        <is>
          <t>BE</t>
        </is>
      </c>
      <c r="L47" s="11" t="inlineStr">
        <is>
          <t>+32 490 31 42 79</t>
        </is>
      </c>
      <c r="M47" s="15" t="inlineStr">
        <is>
          <t>info@wilmandascoffee.com</t>
        </is>
      </c>
      <c r="N47" s="15" t="inlineStr">
        <is>
          <t>https://www.wilmandascoffee.com/</t>
        </is>
      </c>
      <c r="O47" s="11" t="n"/>
      <c r="P47" s="15" t="inlineStr">
        <is>
          <t>https://www.facebook.com/profile.php?id=61576366208510</t>
        </is>
      </c>
      <c r="Q47" s="11" t="n"/>
      <c r="R47" s="11" t="n"/>
      <c r="S47" s="12" t="n"/>
      <c r="T47" s="12" t="n"/>
      <c r="U47" s="13" t="n">
        <v>50.826436</v>
      </c>
      <c r="V47" s="13" t="n">
        <v>3.267628</v>
      </c>
      <c r="W47" s="11" t="inlineStr">
        <is>
          <t>UNVERIFIED</t>
        </is>
      </c>
      <c r="X47" s="12" t="n"/>
      <c r="Y47" s="14" t="n">
        <v>60.9</v>
      </c>
      <c r="Z47" s="12" t="inlineStr">
        <is>
          <t>unverified</t>
        </is>
      </c>
      <c r="AA47" s="12" t="inlineStr">
        <is>
          <t>unverified</t>
        </is>
      </c>
      <c r="AB47" s="12" t="inlineStr">
        <is>
          <t>unverified</t>
        </is>
      </c>
      <c r="AC47" s="12" t="inlineStr">
        <is>
          <t>unverified - mobile number (BE)</t>
        </is>
      </c>
      <c r="AD47" s="12" t="inlineStr">
        <is>
          <t>missing</t>
        </is>
      </c>
      <c r="AE47" s="11" t="inlineStr">
        <is>
          <t>osm</t>
        </is>
      </c>
      <c r="AF47" s="15" t="inlineStr">
        <is>
          <t>https://www.openstreetmap.org/node/13395819766</t>
        </is>
      </c>
      <c r="AG47" s="11" t="n"/>
      <c r="AH47" s="11" t="inlineStr">
        <is>
          <t>2026-09-08T08:53:56+00:00</t>
        </is>
      </c>
      <c r="AI47" s="11" t="n"/>
      <c r="AJ47" s="11" t="n"/>
    </row>
    <row r="48">
      <c r="A48" s="11" t="inlineStr">
        <is>
          <t>KOR-0002</t>
        </is>
      </c>
      <c r="B48" s="11" t="inlineStr">
        <is>
          <t>B'aristokat</t>
        </is>
      </c>
      <c r="C48" s="11" t="n"/>
      <c r="D48" s="11" t="inlineStr">
        <is>
          <t>cafe</t>
        </is>
      </c>
      <c r="E48" s="11" t="inlineStr">
        <is>
          <t>coffee shop, pancake</t>
        </is>
      </c>
      <c r="F48" s="11" t="n"/>
      <c r="G48" s="11" t="n"/>
      <c r="H48" s="11" t="inlineStr">
        <is>
          <t>8500</t>
        </is>
      </c>
      <c r="I48" s="11" t="inlineStr">
        <is>
          <t>Kortrijk</t>
        </is>
      </c>
      <c r="J48" s="11" t="n"/>
      <c r="K48" s="11" t="inlineStr">
        <is>
          <t>BE</t>
        </is>
      </c>
      <c r="L48" s="11" t="inlineStr">
        <is>
          <t>+32 495 43 46 40</t>
        </is>
      </c>
      <c r="M48" s="15" t="inlineStr">
        <is>
          <t>info@baristokat.be</t>
        </is>
      </c>
      <c r="N48" s="15" t="inlineStr">
        <is>
          <t>https://baristokat-kattencafe.be/</t>
        </is>
      </c>
      <c r="O48" s="11" t="n"/>
      <c r="P48" s="11" t="n"/>
      <c r="Q48" s="15" t="inlineStr">
        <is>
          <t>https://www.instagram.com/baristokat.kortrijk</t>
        </is>
      </c>
      <c r="R48" s="11" t="n"/>
      <c r="S48" s="12" t="n"/>
      <c r="T48" s="12" t="inlineStr">
        <is>
          <t>Katten café</t>
        </is>
      </c>
      <c r="U48" s="13" t="n">
        <v>50.828398</v>
      </c>
      <c r="V48" s="13" t="n">
        <v>3.265629</v>
      </c>
      <c r="W48" s="11" t="inlineStr">
        <is>
          <t>NEEDS_REVIEW</t>
        </is>
      </c>
      <c r="X48" s="12" t="inlineStr">
        <is>
          <t>e-mail domain (baristokat.be) differs from website domain (baristokat-kattencafe.be) - review</t>
        </is>
      </c>
      <c r="Y48" s="14" t="n">
        <v>65.2</v>
      </c>
      <c r="Z48" s="12" t="inlineStr">
        <is>
          <t>unverified</t>
        </is>
      </c>
      <c r="AA48" s="12" t="inlineStr">
        <is>
          <t>unverified</t>
        </is>
      </c>
      <c r="AB48" s="12" t="inlineStr">
        <is>
          <t>unverified</t>
        </is>
      </c>
      <c r="AC48" s="12" t="inlineStr">
        <is>
          <t>unverified - mobile number (BE)</t>
        </is>
      </c>
      <c r="AD48" s="12" t="inlineStr">
        <is>
          <t>missing</t>
        </is>
      </c>
      <c r="AE48" s="11" t="inlineStr">
        <is>
          <t>osm</t>
        </is>
      </c>
      <c r="AF48" s="15" t="inlineStr">
        <is>
          <t>https://www.openstreetmap.org/node/9288274414</t>
        </is>
      </c>
      <c r="AG48" s="11" t="n"/>
      <c r="AH48" s="11" t="inlineStr">
        <is>
          <t>2026-09-08T08:53:56+00:00</t>
        </is>
      </c>
      <c r="AI48" s="11" t="n"/>
      <c r="AJ48" s="11" t="n"/>
    </row>
    <row r="49">
      <c r="A49" s="11" t="inlineStr">
        <is>
          <t>KOR-0008</t>
        </is>
      </c>
      <c r="B49" s="11" t="inlineStr">
        <is>
          <t>Bistro 't Forum</t>
        </is>
      </c>
      <c r="C49" s="11" t="n"/>
      <c r="D49" s="11" t="inlineStr">
        <is>
          <t>restaurant</t>
        </is>
      </c>
      <c r="E49" s="11" t="n"/>
      <c r="F49" s="11" t="n"/>
      <c r="G49" s="11" t="n"/>
      <c r="H49" s="11" t="n"/>
      <c r="I49" s="11" t="inlineStr">
        <is>
          <t>Kortrijk</t>
        </is>
      </c>
      <c r="J49" s="11" t="n"/>
      <c r="K49" s="11" t="inlineStr">
        <is>
          <t>BE</t>
        </is>
      </c>
      <c r="L49" s="11" t="n"/>
      <c r="M49" s="11" t="n"/>
      <c r="N49" s="15" t="inlineStr">
        <is>
          <t>https://www.vives.be/nl/kortrijk/bistro</t>
        </is>
      </c>
      <c r="O49" s="11" t="n"/>
      <c r="P49" s="11" t="n"/>
      <c r="Q49" s="11" t="n"/>
      <c r="R49" s="11" t="n"/>
      <c r="S49" s="12" t="n"/>
      <c r="T49" s="12" t="n"/>
      <c r="U49" s="13" t="n">
        <v>50.805992</v>
      </c>
      <c r="V49" s="13" t="n">
        <v>3.283541</v>
      </c>
      <c r="W49" s="11" t="inlineStr">
        <is>
          <t>NEEDS_REVIEW</t>
        </is>
      </c>
      <c r="X49" s="12" t="inlineStr">
        <is>
          <t>possible duplicate (DUP-003): same website domain but different name/address (branch or chain?) - names 43% similar - review
possible duplicate (DUP-004): same website domain but different name/address (branch or chain?) - names 27% similar - review</t>
        </is>
      </c>
      <c r="Y49" s="14" t="n">
        <v>39.1</v>
      </c>
      <c r="Z49" s="12" t="inlineStr">
        <is>
          <t>unverified</t>
        </is>
      </c>
      <c r="AA49" s="12" t="inlineStr">
        <is>
          <t>unverified</t>
        </is>
      </c>
      <c r="AB49" s="12" t="inlineStr">
        <is>
          <t>missing</t>
        </is>
      </c>
      <c r="AC49" s="12" t="inlineStr">
        <is>
          <t>missing</t>
        </is>
      </c>
      <c r="AD49" s="12" t="inlineStr">
        <is>
          <t>missing</t>
        </is>
      </c>
      <c r="AE49" s="11" t="inlineStr">
        <is>
          <t>osm</t>
        </is>
      </c>
      <c r="AF49" s="15" t="inlineStr">
        <is>
          <t>https://www.openstreetmap.org/node/8004386864</t>
        </is>
      </c>
      <c r="AG49" s="11" t="inlineStr">
        <is>
          <t>DUP-003</t>
        </is>
      </c>
      <c r="AH49" s="11" t="inlineStr">
        <is>
          <t>2026-09-08T08:53:56+00:00</t>
        </is>
      </c>
      <c r="AI49" s="11" t="n"/>
      <c r="AJ49" s="11" t="n"/>
    </row>
    <row r="50">
      <c r="A50" s="11" t="inlineStr">
        <is>
          <t>KOR-0010</t>
        </is>
      </c>
      <c r="B50" s="11" t="inlineStr">
        <is>
          <t>Bistro Tout Court</t>
        </is>
      </c>
      <c r="C50" s="11" t="n"/>
      <c r="D50" s="11" t="inlineStr">
        <is>
          <t>restaurant</t>
        </is>
      </c>
      <c r="E50" s="11" t="inlineStr">
        <is>
          <t>regional</t>
        </is>
      </c>
      <c r="F50" s="11" t="inlineStr">
        <is>
          <t>Budastraat</t>
        </is>
      </c>
      <c r="G50" s="11" t="inlineStr">
        <is>
          <t>24</t>
        </is>
      </c>
      <c r="H50" s="11" t="inlineStr">
        <is>
          <t>8500</t>
        </is>
      </c>
      <c r="I50" s="11" t="inlineStr">
        <is>
          <t>Kortrijk</t>
        </is>
      </c>
      <c r="J50" s="11" t="inlineStr">
        <is>
          <t>Heule</t>
        </is>
      </c>
      <c r="K50" s="11" t="inlineStr">
        <is>
          <t>BE</t>
        </is>
      </c>
      <c r="L50" s="11" t="inlineStr">
        <is>
          <t>+32 472 46 37 48</t>
        </is>
      </c>
      <c r="M50" s="11" t="n"/>
      <c r="N50" s="15" t="inlineStr">
        <is>
          <t>https://www.bistrotoutcourt.be/</t>
        </is>
      </c>
      <c r="O50" s="11" t="n"/>
      <c r="P50" s="11" t="n"/>
      <c r="Q50" s="11" t="n"/>
      <c r="R50" s="11" t="n"/>
      <c r="S50" s="12" t="inlineStr">
        <is>
          <t>Mo-Fr 11:30-13:30,18:30-21:30; Sa 11:30-13:30,18:30-22:00</t>
        </is>
      </c>
      <c r="T50" s="12" t="n"/>
      <c r="U50" s="13" t="n">
        <v>50.8304</v>
      </c>
      <c r="V50" s="13" t="n">
        <v>3.263629</v>
      </c>
      <c r="W50" s="11" t="inlineStr">
        <is>
          <t>NEEDS_REVIEW</t>
        </is>
      </c>
      <c r="X50" s="12" t="inlineStr">
        <is>
          <t>note: merged 1 duplicate record(s) - same website domain; names 100% similar
merged duplicates disagree on: street: Budastraat vs Sint-Katharinastraat; house_number: 24 vs 105; postcode: 8500 vs 8501 - review</t>
        </is>
      </c>
      <c r="Y50" s="14" t="n">
        <v>69.59999999999999</v>
      </c>
      <c r="Z50" s="12" t="inlineStr">
        <is>
          <t>unverified</t>
        </is>
      </c>
      <c r="AA50" s="12" t="inlineStr">
        <is>
          <t>unverified</t>
        </is>
      </c>
      <c r="AB50" s="12" t="inlineStr">
        <is>
          <t>missing</t>
        </is>
      </c>
      <c r="AC50" s="12" t="inlineStr">
        <is>
          <t>unverified - mobile number (BE)</t>
        </is>
      </c>
      <c r="AD50" s="12" t="inlineStr">
        <is>
          <t>missing</t>
        </is>
      </c>
      <c r="AE50" s="11" t="inlineStr">
        <is>
          <t>osm</t>
        </is>
      </c>
      <c r="AF50" s="15" t="inlineStr">
        <is>
          <t>https://www.openstreetmap.org/node/6932290778</t>
        </is>
      </c>
      <c r="AG50" s="11" t="inlineStr">
        <is>
          <t>DUP-001</t>
        </is>
      </c>
      <c r="AH50" s="11" t="inlineStr">
        <is>
          <t>2026-09-08T08:53:56+00:00</t>
        </is>
      </c>
      <c r="AI50" s="11" t="n"/>
      <c r="AJ50" s="11" t="n"/>
    </row>
    <row r="51">
      <c r="A51" s="11" t="inlineStr">
        <is>
          <t>KOR-0033</t>
        </is>
      </c>
      <c r="B51" s="11" t="inlineStr">
        <is>
          <t>Kostbar</t>
        </is>
      </c>
      <c r="C51" s="11" t="n"/>
      <c r="D51" s="11" t="inlineStr">
        <is>
          <t>restaurant</t>
        </is>
      </c>
      <c r="E51" s="11" t="n"/>
      <c r="F51" s="11" t="inlineStr">
        <is>
          <t>Kloosterstraat</t>
        </is>
      </c>
      <c r="G51" s="11" t="inlineStr">
        <is>
          <t>60</t>
        </is>
      </c>
      <c r="H51" s="11" t="inlineStr">
        <is>
          <t>8510</t>
        </is>
      </c>
      <c r="I51" s="11" t="inlineStr">
        <is>
          <t>Kortrijk</t>
        </is>
      </c>
      <c r="J51" s="11" t="inlineStr">
        <is>
          <t>Marke</t>
        </is>
      </c>
      <c r="K51" s="11" t="inlineStr">
        <is>
          <t>BE</t>
        </is>
      </c>
      <c r="L51" s="11" t="inlineStr">
        <is>
          <t>+32 486 83 21 66</t>
        </is>
      </c>
      <c r="M51" s="15" t="inlineStr">
        <is>
          <t>els@kostbar-marke.be</t>
        </is>
      </c>
      <c r="N51" s="15" t="inlineStr">
        <is>
          <t>https://kostbar-marke.be/</t>
        </is>
      </c>
      <c r="O51" s="11" t="n"/>
      <c r="P51" s="15" t="inlineStr">
        <is>
          <t>https://www.facebook.com/kostbarmarke</t>
        </is>
      </c>
      <c r="Q51" s="11" t="n"/>
      <c r="R51" s="11" t="n"/>
      <c r="S51" s="12" t="inlineStr">
        <is>
          <t>Tu-Th 10:00-17:00; Fr,Sa 10:00-17:00,19:00-21:00</t>
        </is>
      </c>
      <c r="T51" s="12" t="n"/>
      <c r="U51" s="13" t="n">
        <v>50.805567</v>
      </c>
      <c r="V51" s="13" t="n">
        <v>3.236487</v>
      </c>
      <c r="W51" s="11" t="inlineStr">
        <is>
          <t>NEEDS_REVIEW</t>
        </is>
      </c>
      <c r="X51" s="12" t="inlineStr">
        <is>
          <t>source marks the business as closed (opening hours) - review
note: merged 1 duplicate record(s) - same phone, email; names 82% similar
merged duplicates disagree on: company_name: Kostbar vs Kostba(a)r - review</t>
        </is>
      </c>
      <c r="Y51" s="14" t="n">
        <v>73.90000000000001</v>
      </c>
      <c r="Z51" s="12" t="inlineStr">
        <is>
          <t>conflict - differs between sources: Kostbar vs Kostba(a)r | other values seen: Kostba(a)r</t>
        </is>
      </c>
      <c r="AA51" s="12" t="inlineStr">
        <is>
          <t>unverified</t>
        </is>
      </c>
      <c r="AB51" s="12" t="inlineStr">
        <is>
          <t>unverified</t>
        </is>
      </c>
      <c r="AC51" s="12" t="inlineStr">
        <is>
          <t>unverified - mobile number (BE)</t>
        </is>
      </c>
      <c r="AD51" s="12" t="inlineStr">
        <is>
          <t>missing</t>
        </is>
      </c>
      <c r="AE51" s="11" t="inlineStr">
        <is>
          <t>osm</t>
        </is>
      </c>
      <c r="AF51" s="15" t="inlineStr">
        <is>
          <t>https://www.openstreetmap.org/node/11724904081</t>
        </is>
      </c>
      <c r="AG51" s="11" t="inlineStr">
        <is>
          <t>DUP-002</t>
        </is>
      </c>
      <c r="AH51" s="11" t="inlineStr">
        <is>
          <t>2026-09-08T08:53:56+00:00</t>
        </is>
      </c>
      <c r="AI51" s="11" t="n"/>
      <c r="AJ51" s="11" t="n"/>
    </row>
    <row r="52">
      <c r="A52" s="11" t="inlineStr">
        <is>
          <t>KOR-0050</t>
        </is>
      </c>
      <c r="B52" s="11" t="inlineStr">
        <is>
          <t>Storia Di</t>
        </is>
      </c>
      <c r="C52" s="11" t="n"/>
      <c r="D52" s="11" t="inlineStr">
        <is>
          <t>restaurant</t>
        </is>
      </c>
      <c r="E52" s="11" t="inlineStr">
        <is>
          <t>italian</t>
        </is>
      </c>
      <c r="F52" s="11" t="n"/>
      <c r="G52" s="11" t="n"/>
      <c r="H52" s="11" t="n"/>
      <c r="I52" s="11" t="inlineStr">
        <is>
          <t>Kortrijk</t>
        </is>
      </c>
      <c r="J52" s="11" t="n"/>
      <c r="K52" s="11" t="inlineStr">
        <is>
          <t>BE</t>
        </is>
      </c>
      <c r="L52" s="11" t="n"/>
      <c r="M52" s="11" t="n"/>
      <c r="N52" s="15" t="inlineStr">
        <is>
          <t>https://www.vives.be/nl/kortrijk/storiadi</t>
        </is>
      </c>
      <c r="O52" s="11" t="n"/>
      <c r="P52" s="11" t="n"/>
      <c r="Q52" s="11" t="n"/>
      <c r="R52" s="11" t="n"/>
      <c r="S52" s="12" t="n"/>
      <c r="T52" s="12" t="n"/>
      <c r="U52" s="13" t="n">
        <v>50.806054</v>
      </c>
      <c r="V52" s="13" t="n">
        <v>3.283642</v>
      </c>
      <c r="W52" s="11" t="inlineStr">
        <is>
          <t>NEEDS_REVIEW</t>
        </is>
      </c>
      <c r="X52" s="12" t="inlineStr">
        <is>
          <t>possible duplicate (DUP-003): same website domain but different name/address (branch or chain?) - names 43% similar - review
possible duplicate (DUP-005): same website domain but different name/address (branch or chain?) - names 24% similar - review</t>
        </is>
      </c>
      <c r="Y52" s="14" t="n">
        <v>43.5</v>
      </c>
      <c r="Z52" s="12" t="inlineStr">
        <is>
          <t>unverified</t>
        </is>
      </c>
      <c r="AA52" s="12" t="inlineStr">
        <is>
          <t>unverified</t>
        </is>
      </c>
      <c r="AB52" s="12" t="inlineStr">
        <is>
          <t>missing</t>
        </is>
      </c>
      <c r="AC52" s="12" t="inlineStr">
        <is>
          <t>missing</t>
        </is>
      </c>
      <c r="AD52" s="12" t="inlineStr">
        <is>
          <t>missing</t>
        </is>
      </c>
      <c r="AE52" s="11" t="inlineStr">
        <is>
          <t>osm</t>
        </is>
      </c>
      <c r="AF52" s="15" t="inlineStr">
        <is>
          <t>https://www.openstreetmap.org/node/8004386863</t>
        </is>
      </c>
      <c r="AG52" s="11" t="inlineStr">
        <is>
          <t>DUP-003</t>
        </is>
      </c>
      <c r="AH52" s="11" t="inlineStr">
        <is>
          <t>2026-09-08T08:53:56+00:00</t>
        </is>
      </c>
      <c r="AI52" s="11" t="n"/>
      <c r="AJ52" s="11" t="n"/>
    </row>
    <row r="53">
      <c r="A53" s="11" t="inlineStr">
        <is>
          <t>KOR-0052</t>
        </is>
      </c>
      <c r="B53" s="11" t="inlineStr">
        <is>
          <t>Thai Lin</t>
        </is>
      </c>
      <c r="C53" s="11" t="n"/>
      <c r="D53" s="11" t="inlineStr">
        <is>
          <t>restaurant</t>
        </is>
      </c>
      <c r="E53" s="11" t="inlineStr">
        <is>
          <t>thai</t>
        </is>
      </c>
      <c r="F53" s="11" t="inlineStr">
        <is>
          <t>Dolfijnkaai</t>
        </is>
      </c>
      <c r="G53" s="11" t="inlineStr">
        <is>
          <t>3</t>
        </is>
      </c>
      <c r="H53" s="11" t="inlineStr">
        <is>
          <t>8500</t>
        </is>
      </c>
      <c r="I53" s="11" t="inlineStr">
        <is>
          <t>Kortrijk</t>
        </is>
      </c>
      <c r="J53" s="11" t="n"/>
      <c r="K53" s="11" t="inlineStr">
        <is>
          <t>BE</t>
        </is>
      </c>
      <c r="L53" s="11" t="inlineStr">
        <is>
          <t>+32 56 51 20 48</t>
        </is>
      </c>
      <c r="M53" s="15" t="inlineStr">
        <is>
          <t>info@thailin.be</t>
        </is>
      </c>
      <c r="N53" s="15" t="inlineStr">
        <is>
          <t>http://www.y-notthai.com/</t>
        </is>
      </c>
      <c r="O53" s="11" t="n"/>
      <c r="P53" s="11" t="n"/>
      <c r="Q53" s="11" t="n"/>
      <c r="R53" s="11" t="n"/>
      <c r="S53" s="12" t="inlineStr">
        <is>
          <t>We-Th 18:00-21:30; Fr-Sa 18:00-22:00; Su 18:00-21:00</t>
        </is>
      </c>
      <c r="T53" s="12" t="n"/>
      <c r="U53" s="13" t="n">
        <v>50.829348</v>
      </c>
      <c r="V53" s="13" t="n">
        <v>3.264022</v>
      </c>
      <c r="W53" s="11" t="inlineStr">
        <is>
          <t>NEEDS_REVIEW</t>
        </is>
      </c>
      <c r="X53" s="12" t="inlineStr">
        <is>
          <t>e-mail domain (thailin.be) differs from website domain (y-notthai.com) - review</t>
        </is>
      </c>
      <c r="Y53" s="14" t="n">
        <v>69.59999999999999</v>
      </c>
      <c r="Z53" s="12" t="inlineStr">
        <is>
          <t>unverified</t>
        </is>
      </c>
      <c r="AA53" s="12" t="inlineStr">
        <is>
          <t>unverified</t>
        </is>
      </c>
      <c r="AB53" s="12" t="inlineStr">
        <is>
          <t>unverified</t>
        </is>
      </c>
      <c r="AC53" s="12" t="inlineStr">
        <is>
          <t>unverified - fixed number (BE)</t>
        </is>
      </c>
      <c r="AD53" s="12" t="inlineStr">
        <is>
          <t>missing</t>
        </is>
      </c>
      <c r="AE53" s="11" t="inlineStr">
        <is>
          <t>osm</t>
        </is>
      </c>
      <c r="AF53" s="15" t="inlineStr">
        <is>
          <t>https://www.openstreetmap.org/node/3839667142</t>
        </is>
      </c>
      <c r="AG53" s="11" t="n"/>
      <c r="AH53" s="11" t="inlineStr">
        <is>
          <t>2026-09-08T08:53:56+00:00</t>
        </is>
      </c>
      <c r="AI53" s="11" t="n"/>
      <c r="AJ53" s="11" t="n"/>
    </row>
    <row r="54">
      <c r="A54" s="11" t="inlineStr">
        <is>
          <t>KOR-0053</t>
        </is>
      </c>
      <c r="B54" s="11" t="inlineStr">
        <is>
          <t>The Cube</t>
        </is>
      </c>
      <c r="C54" s="11" t="n"/>
      <c r="D54" s="11" t="inlineStr">
        <is>
          <t>restaurant</t>
        </is>
      </c>
      <c r="E54" s="11" t="n"/>
      <c r="F54" s="11" t="n"/>
      <c r="G54" s="11" t="n"/>
      <c r="H54" s="11" t="n"/>
      <c r="I54" s="11" t="inlineStr">
        <is>
          <t>Kortrijk</t>
        </is>
      </c>
      <c r="J54" s="11" t="n"/>
      <c r="K54" s="11" t="inlineStr">
        <is>
          <t>BE</t>
        </is>
      </c>
      <c r="L54" s="11" t="n"/>
      <c r="M54" s="11" t="n"/>
      <c r="N54" s="15" t="inlineStr">
        <is>
          <t>https://www.vives.be/nl/kortrijk/thecube</t>
        </is>
      </c>
      <c r="O54" s="11" t="n"/>
      <c r="P54" s="11" t="n"/>
      <c r="Q54" s="11" t="n"/>
      <c r="R54" s="11" t="n"/>
      <c r="S54" s="12" t="inlineStr">
        <is>
          <t>Mo-Fr 11:30-14:00</t>
        </is>
      </c>
      <c r="T54" s="12" t="n"/>
      <c r="U54" s="13" t="n">
        <v>50.806723</v>
      </c>
      <c r="V54" s="13" t="n">
        <v>3.281316</v>
      </c>
      <c r="W54" s="11" t="inlineStr">
        <is>
          <t>NEEDS_REVIEW</t>
        </is>
      </c>
      <c r="X54" s="12" t="inlineStr">
        <is>
          <t>possible duplicate (DUP-004): same website domain but different name/address (branch or chain?) - names 27% similar - review
possible duplicate (DUP-005): same website domain but different name/address (branch or chain?) - names 24% similar - review</t>
        </is>
      </c>
      <c r="Y54" s="14" t="n">
        <v>43.5</v>
      </c>
      <c r="Z54" s="12" t="inlineStr">
        <is>
          <t>unverified</t>
        </is>
      </c>
      <c r="AA54" s="12" t="inlineStr">
        <is>
          <t>unverified</t>
        </is>
      </c>
      <c r="AB54" s="12" t="inlineStr">
        <is>
          <t>missing</t>
        </is>
      </c>
      <c r="AC54" s="12" t="inlineStr">
        <is>
          <t>missing</t>
        </is>
      </c>
      <c r="AD54" s="12" t="inlineStr">
        <is>
          <t>missing</t>
        </is>
      </c>
      <c r="AE54" s="11" t="inlineStr">
        <is>
          <t>osm</t>
        </is>
      </c>
      <c r="AF54" s="15" t="inlineStr">
        <is>
          <t>https://www.openstreetmap.org/node/8004386862</t>
        </is>
      </c>
      <c r="AG54" s="11" t="inlineStr">
        <is>
          <t>DUP-004</t>
        </is>
      </c>
      <c r="AH54" s="11" t="inlineStr">
        <is>
          <t>2026-09-08T08:53:56+00:00</t>
        </is>
      </c>
      <c r="AI54" s="11" t="n"/>
      <c r="AJ54" s="11" t="n"/>
    </row>
    <row r="55">
      <c r="A55" s="11" t="inlineStr">
        <is>
          <t>KOR-0055</t>
        </is>
      </c>
      <c r="B55" s="11" t="inlineStr">
        <is>
          <t>Viva Sara Kaffee</t>
        </is>
      </c>
      <c r="C55" s="11" t="n"/>
      <c r="D55" s="11" t="inlineStr">
        <is>
          <t>cafe</t>
        </is>
      </c>
      <c r="E55" s="11" t="n"/>
      <c r="F55" s="11" t="inlineStr">
        <is>
          <t>Grote Markt</t>
        </is>
      </c>
      <c r="G55" s="11" t="inlineStr">
        <is>
          <t>33</t>
        </is>
      </c>
      <c r="H55" s="11" t="inlineStr">
        <is>
          <t>8500</t>
        </is>
      </c>
      <c r="I55" s="11" t="inlineStr">
        <is>
          <t>Kortrijk</t>
        </is>
      </c>
      <c r="J55" s="11" t="n"/>
      <c r="K55" s="11" t="inlineStr">
        <is>
          <t>BE</t>
        </is>
      </c>
      <c r="L55" s="11" t="inlineStr">
        <is>
          <t>+32 56 21 72 70</t>
        </is>
      </c>
      <c r="M55" s="15" t="inlineStr">
        <is>
          <t>info@vivasarakaffee.com</t>
        </is>
      </c>
      <c r="N55" s="15" t="inlineStr">
        <is>
          <t>https://www.vivasara.be/nl/kaffee/kortrijk</t>
        </is>
      </c>
      <c r="O55" s="11" t="n"/>
      <c r="P55" s="11" t="n"/>
      <c r="Q55" s="11" t="n"/>
      <c r="R55" s="11" t="n"/>
      <c r="S55" s="12" t="inlineStr">
        <is>
          <t>Mo-Su 09:00-18:00</t>
        </is>
      </c>
      <c r="T55" s="12" t="n"/>
      <c r="U55" s="13" t="n">
        <v>50.827259</v>
      </c>
      <c r="V55" s="13" t="n">
        <v>3.266439</v>
      </c>
      <c r="W55" s="11" t="inlineStr">
        <is>
          <t>NEEDS_REVIEW</t>
        </is>
      </c>
      <c r="X55" s="12" t="inlineStr">
        <is>
          <t>e-mail domain (vivasarakaffee.com) differs from website domain (vivasara.be) - review</t>
        </is>
      </c>
      <c r="Y55" s="14" t="n">
        <v>65.2</v>
      </c>
      <c r="Z55" s="12" t="inlineStr">
        <is>
          <t>unverified</t>
        </is>
      </c>
      <c r="AA55" s="12" t="inlineStr">
        <is>
          <t>unverified</t>
        </is>
      </c>
      <c r="AB55" s="12" t="inlineStr">
        <is>
          <t>unverified</t>
        </is>
      </c>
      <c r="AC55" s="12" t="inlineStr">
        <is>
          <t>unverified - fixed number (BE)</t>
        </is>
      </c>
      <c r="AD55" s="12" t="inlineStr">
        <is>
          <t>missing</t>
        </is>
      </c>
      <c r="AE55" s="11" t="inlineStr">
        <is>
          <t>osm</t>
        </is>
      </c>
      <c r="AF55" s="15" t="inlineStr">
        <is>
          <t>https://www.openstreetmap.org/node/4905761821</t>
        </is>
      </c>
      <c r="AG55" s="11" t="n"/>
      <c r="AH55" s="11" t="inlineStr">
        <is>
          <t>2026-09-08T08:53:56+00:00</t>
        </is>
      </c>
      <c r="AI55" s="11" t="n"/>
      <c r="AJ55" s="11" t="n"/>
    </row>
  </sheetData>
  <autoFilter ref="A1:AJ55"/>
  <conditionalFormatting sqref="W2:W100000">
    <cfRule type="cellIs" priority="1" operator="equal" dxfId="0">
      <formula>"VERIFIED"</formula>
    </cfRule>
    <cfRule type="cellIs" priority="2" operator="equal" dxfId="1">
      <formula>"PARTIALLY_VERIFIED"</formula>
    </cfRule>
    <cfRule type="cellIs" priority="3" operator="equal" dxfId="2">
      <formula>"UNVERIFIED"</formula>
    </cfRule>
    <cfRule type="cellIs" priority="4" operator="equal" dxfId="3">
      <formula>"NEEDS_REVIEW"</formula>
    </cfRule>
    <cfRule type="cellIs" priority="5" operator="equal" dxfId="4">
      <formula>"EXCLUDED"</formula>
    </cfRule>
  </conditionalFormatting>
  <conditionalFormatting sqref="Y2:Y100000">
    <cfRule type="dataBar" priority="6">
      <dataBar>
        <cfvo type="num" val="0"/>
        <cfvo type="num" val="100"/>
        <color rgb="005B9BD5"/>
      </dataBar>
    </cfRule>
  </conditionalFormatting>
  <conditionalFormatting sqref="Z2:Z100000">
    <cfRule type="expression" priority="7" dxfId="0">
      <formula>LEFT(Z2,8)="verified"</formula>
    </cfRule>
    <cfRule type="expression" priority="8" dxfId="3">
      <formula>OR(LEFT(Z2,8)="conflict",LEFT(Z2,7)="invalid")</formula>
    </cfRule>
    <cfRule type="expression" priority="9" dxfId="2">
      <formula>LEFT(Z2,10)="unverified"</formula>
    </cfRule>
    <cfRule type="expression" priority="10" dxfId="5">
      <formula>Z2="missing"</formula>
    </cfRule>
  </conditionalFormatting>
  <conditionalFormatting sqref="AA2:AA100000">
    <cfRule type="expression" priority="11" dxfId="0">
      <formula>LEFT(AA2,8)="verified"</formula>
    </cfRule>
    <cfRule type="expression" priority="12" dxfId="3">
      <formula>OR(LEFT(AA2,8)="conflict",LEFT(AA2,7)="invalid")</formula>
    </cfRule>
    <cfRule type="expression" priority="13" dxfId="2">
      <formula>LEFT(AA2,10)="unverified"</formula>
    </cfRule>
    <cfRule type="expression" priority="14" dxfId="5">
      <formula>AA2="missing"</formula>
    </cfRule>
  </conditionalFormatting>
  <conditionalFormatting sqref="AB2:AB100000">
    <cfRule type="expression" priority="15" dxfId="0">
      <formula>LEFT(AB2,8)="verified"</formula>
    </cfRule>
    <cfRule type="expression" priority="16" dxfId="3">
      <formula>OR(LEFT(AB2,8)="conflict",LEFT(AB2,7)="invalid")</formula>
    </cfRule>
    <cfRule type="expression" priority="17" dxfId="2">
      <formula>LEFT(AB2,10)="unverified"</formula>
    </cfRule>
    <cfRule type="expression" priority="18" dxfId="5">
      <formula>AB2="missing"</formula>
    </cfRule>
  </conditionalFormatting>
  <conditionalFormatting sqref="AC2:AC100000">
    <cfRule type="expression" priority="19" dxfId="0">
      <formula>LEFT(AC2,8)="verified"</formula>
    </cfRule>
    <cfRule type="expression" priority="20" dxfId="3">
      <formula>OR(LEFT(AC2,8)="conflict",LEFT(AC2,7)="invalid")</formula>
    </cfRule>
    <cfRule type="expression" priority="21" dxfId="2">
      <formula>LEFT(AC2,10)="unverified"</formula>
    </cfRule>
    <cfRule type="expression" priority="22" dxfId="5">
      <formula>AC2="missing"</formula>
    </cfRule>
  </conditionalFormatting>
  <conditionalFormatting sqref="AD2:AD100000">
    <cfRule type="expression" priority="23" dxfId="0">
      <formula>LEFT(AD2,8)="verified"</formula>
    </cfRule>
    <cfRule type="expression" priority="24" dxfId="3">
      <formula>OR(LEFT(AD2,8)="conflict",LEFT(AD2,7)="invalid")</formula>
    </cfRule>
    <cfRule type="expression" priority="25" dxfId="2">
      <formula>LEFT(AD2,10)="unverified"</formula>
    </cfRule>
    <cfRule type="expression" priority="26" dxfId="5">
      <formula>AD2="missing"</formula>
    </cfRule>
  </conditionalFormatting>
  <dataValidations count="1">
    <dataValidation sqref="AI2:AI100000" showDropDown="0" showInputMessage="0" showErrorMessage="0" allowBlank="1" promptTitle="Reviewer decision" prompt="Record the manual QA outcome for this row." type="list">
      <formula1>"Approved,Rejected,Needs fix,Contacted"</formula1>
    </dataValidation>
  </dataValidations>
  <hyperlinks>
    <hyperlink xmlns:r="http://schemas.openxmlformats.org/officeDocument/2006/relationships" ref="AF2" r:id="rId1"/>
    <hyperlink xmlns:r="http://schemas.openxmlformats.org/officeDocument/2006/relationships" ref="N3" r:id="rId2"/>
    <hyperlink xmlns:r="http://schemas.openxmlformats.org/officeDocument/2006/relationships" ref="AF3" r:id="rId3"/>
    <hyperlink xmlns:r="http://schemas.openxmlformats.org/officeDocument/2006/relationships" ref="M4" r:id="rId4"/>
    <hyperlink xmlns:r="http://schemas.openxmlformats.org/officeDocument/2006/relationships" ref="N4" r:id="rId5"/>
    <hyperlink xmlns:r="http://schemas.openxmlformats.org/officeDocument/2006/relationships" ref="P4" r:id="rId6"/>
    <hyperlink xmlns:r="http://schemas.openxmlformats.org/officeDocument/2006/relationships" ref="Q4" r:id="rId7"/>
    <hyperlink xmlns:r="http://schemas.openxmlformats.org/officeDocument/2006/relationships" ref="AF4" r:id="rId8"/>
    <hyperlink xmlns:r="http://schemas.openxmlformats.org/officeDocument/2006/relationships" ref="N5" r:id="rId9"/>
    <hyperlink xmlns:r="http://schemas.openxmlformats.org/officeDocument/2006/relationships" ref="AF5" r:id="rId10"/>
    <hyperlink xmlns:r="http://schemas.openxmlformats.org/officeDocument/2006/relationships" ref="M6" r:id="rId11"/>
    <hyperlink xmlns:r="http://schemas.openxmlformats.org/officeDocument/2006/relationships" ref="N6" r:id="rId12"/>
    <hyperlink xmlns:r="http://schemas.openxmlformats.org/officeDocument/2006/relationships" ref="P6" r:id="rId13"/>
    <hyperlink xmlns:r="http://schemas.openxmlformats.org/officeDocument/2006/relationships" ref="AF6" r:id="rId14"/>
    <hyperlink xmlns:r="http://schemas.openxmlformats.org/officeDocument/2006/relationships" ref="N7" r:id="rId15"/>
    <hyperlink xmlns:r="http://schemas.openxmlformats.org/officeDocument/2006/relationships" ref="AF7" r:id="rId16"/>
    <hyperlink xmlns:r="http://schemas.openxmlformats.org/officeDocument/2006/relationships" ref="M8" r:id="rId17"/>
    <hyperlink xmlns:r="http://schemas.openxmlformats.org/officeDocument/2006/relationships" ref="AF8" r:id="rId18"/>
    <hyperlink xmlns:r="http://schemas.openxmlformats.org/officeDocument/2006/relationships" ref="AF9" r:id="rId19"/>
    <hyperlink xmlns:r="http://schemas.openxmlformats.org/officeDocument/2006/relationships" ref="N10" r:id="rId20"/>
    <hyperlink xmlns:r="http://schemas.openxmlformats.org/officeDocument/2006/relationships" ref="AF10" r:id="rId21"/>
    <hyperlink xmlns:r="http://schemas.openxmlformats.org/officeDocument/2006/relationships" ref="M11" r:id="rId22"/>
    <hyperlink xmlns:r="http://schemas.openxmlformats.org/officeDocument/2006/relationships" ref="N11" r:id="rId23"/>
    <hyperlink xmlns:r="http://schemas.openxmlformats.org/officeDocument/2006/relationships" ref="AF11" r:id="rId24"/>
    <hyperlink xmlns:r="http://schemas.openxmlformats.org/officeDocument/2006/relationships" ref="N12" r:id="rId25"/>
    <hyperlink xmlns:r="http://schemas.openxmlformats.org/officeDocument/2006/relationships" ref="AF12" r:id="rId26"/>
    <hyperlink xmlns:r="http://schemas.openxmlformats.org/officeDocument/2006/relationships" ref="N13" r:id="rId27"/>
    <hyperlink xmlns:r="http://schemas.openxmlformats.org/officeDocument/2006/relationships" ref="AF13" r:id="rId28"/>
    <hyperlink xmlns:r="http://schemas.openxmlformats.org/officeDocument/2006/relationships" ref="M14" r:id="rId29"/>
    <hyperlink xmlns:r="http://schemas.openxmlformats.org/officeDocument/2006/relationships" ref="N14" r:id="rId30"/>
    <hyperlink xmlns:r="http://schemas.openxmlformats.org/officeDocument/2006/relationships" ref="P14" r:id="rId31"/>
    <hyperlink xmlns:r="http://schemas.openxmlformats.org/officeDocument/2006/relationships" ref="AF14" r:id="rId32"/>
    <hyperlink xmlns:r="http://schemas.openxmlformats.org/officeDocument/2006/relationships" ref="M15" r:id="rId33"/>
    <hyperlink xmlns:r="http://schemas.openxmlformats.org/officeDocument/2006/relationships" ref="N15" r:id="rId34"/>
    <hyperlink xmlns:r="http://schemas.openxmlformats.org/officeDocument/2006/relationships" ref="AF15" r:id="rId35"/>
    <hyperlink xmlns:r="http://schemas.openxmlformats.org/officeDocument/2006/relationships" ref="M16" r:id="rId36"/>
    <hyperlink xmlns:r="http://schemas.openxmlformats.org/officeDocument/2006/relationships" ref="N16" r:id="rId37"/>
    <hyperlink xmlns:r="http://schemas.openxmlformats.org/officeDocument/2006/relationships" ref="Q16" r:id="rId38"/>
    <hyperlink xmlns:r="http://schemas.openxmlformats.org/officeDocument/2006/relationships" ref="AF16" r:id="rId39"/>
    <hyperlink xmlns:r="http://schemas.openxmlformats.org/officeDocument/2006/relationships" ref="AF17" r:id="rId40"/>
    <hyperlink xmlns:r="http://schemas.openxmlformats.org/officeDocument/2006/relationships" ref="AF18" r:id="rId41"/>
    <hyperlink xmlns:r="http://schemas.openxmlformats.org/officeDocument/2006/relationships" ref="N19" r:id="rId42"/>
    <hyperlink xmlns:r="http://schemas.openxmlformats.org/officeDocument/2006/relationships" ref="AF19" r:id="rId43"/>
    <hyperlink xmlns:r="http://schemas.openxmlformats.org/officeDocument/2006/relationships" ref="AF20" r:id="rId44"/>
    <hyperlink xmlns:r="http://schemas.openxmlformats.org/officeDocument/2006/relationships" ref="AF21" r:id="rId45"/>
    <hyperlink xmlns:r="http://schemas.openxmlformats.org/officeDocument/2006/relationships" ref="N22" r:id="rId46"/>
    <hyperlink xmlns:r="http://schemas.openxmlformats.org/officeDocument/2006/relationships" ref="AF22" r:id="rId47"/>
    <hyperlink xmlns:r="http://schemas.openxmlformats.org/officeDocument/2006/relationships" ref="N23" r:id="rId48"/>
    <hyperlink xmlns:r="http://schemas.openxmlformats.org/officeDocument/2006/relationships" ref="AF23" r:id="rId49"/>
    <hyperlink xmlns:r="http://schemas.openxmlformats.org/officeDocument/2006/relationships" ref="M24" r:id="rId50"/>
    <hyperlink xmlns:r="http://schemas.openxmlformats.org/officeDocument/2006/relationships" ref="N24" r:id="rId51"/>
    <hyperlink xmlns:r="http://schemas.openxmlformats.org/officeDocument/2006/relationships" ref="AF24" r:id="rId52"/>
    <hyperlink xmlns:r="http://schemas.openxmlformats.org/officeDocument/2006/relationships" ref="N25" r:id="rId53"/>
    <hyperlink xmlns:r="http://schemas.openxmlformats.org/officeDocument/2006/relationships" ref="AF25" r:id="rId54"/>
    <hyperlink xmlns:r="http://schemas.openxmlformats.org/officeDocument/2006/relationships" ref="M26" r:id="rId55"/>
    <hyperlink xmlns:r="http://schemas.openxmlformats.org/officeDocument/2006/relationships" ref="N26" r:id="rId56"/>
    <hyperlink xmlns:r="http://schemas.openxmlformats.org/officeDocument/2006/relationships" ref="P26" r:id="rId57"/>
    <hyperlink xmlns:r="http://schemas.openxmlformats.org/officeDocument/2006/relationships" ref="AF26" r:id="rId58"/>
    <hyperlink xmlns:r="http://schemas.openxmlformats.org/officeDocument/2006/relationships" ref="M27" r:id="rId59"/>
    <hyperlink xmlns:r="http://schemas.openxmlformats.org/officeDocument/2006/relationships" ref="N27" r:id="rId60"/>
    <hyperlink xmlns:r="http://schemas.openxmlformats.org/officeDocument/2006/relationships" ref="AF27" r:id="rId61"/>
    <hyperlink xmlns:r="http://schemas.openxmlformats.org/officeDocument/2006/relationships" ref="N28" r:id="rId62"/>
    <hyperlink xmlns:r="http://schemas.openxmlformats.org/officeDocument/2006/relationships" ref="AF28" r:id="rId63"/>
    <hyperlink xmlns:r="http://schemas.openxmlformats.org/officeDocument/2006/relationships" ref="AF29" r:id="rId64"/>
    <hyperlink xmlns:r="http://schemas.openxmlformats.org/officeDocument/2006/relationships" ref="M30" r:id="rId65"/>
    <hyperlink xmlns:r="http://schemas.openxmlformats.org/officeDocument/2006/relationships" ref="N30" r:id="rId66"/>
    <hyperlink xmlns:r="http://schemas.openxmlformats.org/officeDocument/2006/relationships" ref="AF30" r:id="rId67"/>
    <hyperlink xmlns:r="http://schemas.openxmlformats.org/officeDocument/2006/relationships" ref="N31" r:id="rId68"/>
    <hyperlink xmlns:r="http://schemas.openxmlformats.org/officeDocument/2006/relationships" ref="P31" r:id="rId69"/>
    <hyperlink xmlns:r="http://schemas.openxmlformats.org/officeDocument/2006/relationships" ref="AF31" r:id="rId70"/>
    <hyperlink xmlns:r="http://schemas.openxmlformats.org/officeDocument/2006/relationships" ref="N32" r:id="rId71"/>
    <hyperlink xmlns:r="http://schemas.openxmlformats.org/officeDocument/2006/relationships" ref="AF32" r:id="rId72"/>
    <hyperlink xmlns:r="http://schemas.openxmlformats.org/officeDocument/2006/relationships" ref="N33" r:id="rId73"/>
    <hyperlink xmlns:r="http://schemas.openxmlformats.org/officeDocument/2006/relationships" ref="AF33" r:id="rId74"/>
    <hyperlink xmlns:r="http://schemas.openxmlformats.org/officeDocument/2006/relationships" ref="N34" r:id="rId75"/>
    <hyperlink xmlns:r="http://schemas.openxmlformats.org/officeDocument/2006/relationships" ref="AF34" r:id="rId76"/>
    <hyperlink xmlns:r="http://schemas.openxmlformats.org/officeDocument/2006/relationships" ref="N35" r:id="rId77"/>
    <hyperlink xmlns:r="http://schemas.openxmlformats.org/officeDocument/2006/relationships" ref="AF35" r:id="rId78"/>
    <hyperlink xmlns:r="http://schemas.openxmlformats.org/officeDocument/2006/relationships" ref="N36" r:id="rId79"/>
    <hyperlink xmlns:r="http://schemas.openxmlformats.org/officeDocument/2006/relationships" ref="AF36" r:id="rId80"/>
    <hyperlink xmlns:r="http://schemas.openxmlformats.org/officeDocument/2006/relationships" ref="N37" r:id="rId81"/>
    <hyperlink xmlns:r="http://schemas.openxmlformats.org/officeDocument/2006/relationships" ref="AF37" r:id="rId82"/>
    <hyperlink xmlns:r="http://schemas.openxmlformats.org/officeDocument/2006/relationships" ref="AF38" r:id="rId83"/>
    <hyperlink xmlns:r="http://schemas.openxmlformats.org/officeDocument/2006/relationships" ref="N39" r:id="rId84"/>
    <hyperlink xmlns:r="http://schemas.openxmlformats.org/officeDocument/2006/relationships" ref="AF39" r:id="rId85"/>
    <hyperlink xmlns:r="http://schemas.openxmlformats.org/officeDocument/2006/relationships" ref="M40" r:id="rId86"/>
    <hyperlink xmlns:r="http://schemas.openxmlformats.org/officeDocument/2006/relationships" ref="N40" r:id="rId87"/>
    <hyperlink xmlns:r="http://schemas.openxmlformats.org/officeDocument/2006/relationships" ref="P40" r:id="rId88"/>
    <hyperlink xmlns:r="http://schemas.openxmlformats.org/officeDocument/2006/relationships" ref="AF40" r:id="rId89"/>
    <hyperlink xmlns:r="http://schemas.openxmlformats.org/officeDocument/2006/relationships" ref="M41" r:id="rId90"/>
    <hyperlink xmlns:r="http://schemas.openxmlformats.org/officeDocument/2006/relationships" ref="N41" r:id="rId91"/>
    <hyperlink xmlns:r="http://schemas.openxmlformats.org/officeDocument/2006/relationships" ref="AF41" r:id="rId92"/>
    <hyperlink xmlns:r="http://schemas.openxmlformats.org/officeDocument/2006/relationships" ref="N42" r:id="rId93"/>
    <hyperlink xmlns:r="http://schemas.openxmlformats.org/officeDocument/2006/relationships" ref="AF42" r:id="rId94"/>
    <hyperlink xmlns:r="http://schemas.openxmlformats.org/officeDocument/2006/relationships" ref="N43" r:id="rId95"/>
    <hyperlink xmlns:r="http://schemas.openxmlformats.org/officeDocument/2006/relationships" ref="AF43" r:id="rId96"/>
    <hyperlink xmlns:r="http://schemas.openxmlformats.org/officeDocument/2006/relationships" ref="N44" r:id="rId97"/>
    <hyperlink xmlns:r="http://schemas.openxmlformats.org/officeDocument/2006/relationships" ref="AF44" r:id="rId98"/>
    <hyperlink xmlns:r="http://schemas.openxmlformats.org/officeDocument/2006/relationships" ref="N45" r:id="rId99"/>
    <hyperlink xmlns:r="http://schemas.openxmlformats.org/officeDocument/2006/relationships" ref="P45" r:id="rId100"/>
    <hyperlink xmlns:r="http://schemas.openxmlformats.org/officeDocument/2006/relationships" ref="AF45" r:id="rId101"/>
    <hyperlink xmlns:r="http://schemas.openxmlformats.org/officeDocument/2006/relationships" ref="M46" r:id="rId102"/>
    <hyperlink xmlns:r="http://schemas.openxmlformats.org/officeDocument/2006/relationships" ref="N46" r:id="rId103"/>
    <hyperlink xmlns:r="http://schemas.openxmlformats.org/officeDocument/2006/relationships" ref="P46" r:id="rId104"/>
    <hyperlink xmlns:r="http://schemas.openxmlformats.org/officeDocument/2006/relationships" ref="Q46" r:id="rId105"/>
    <hyperlink xmlns:r="http://schemas.openxmlformats.org/officeDocument/2006/relationships" ref="AF46" r:id="rId106"/>
    <hyperlink xmlns:r="http://schemas.openxmlformats.org/officeDocument/2006/relationships" ref="M47" r:id="rId107"/>
    <hyperlink xmlns:r="http://schemas.openxmlformats.org/officeDocument/2006/relationships" ref="N47" r:id="rId108"/>
    <hyperlink xmlns:r="http://schemas.openxmlformats.org/officeDocument/2006/relationships" ref="P47" r:id="rId109"/>
    <hyperlink xmlns:r="http://schemas.openxmlformats.org/officeDocument/2006/relationships" ref="AF47" r:id="rId110"/>
    <hyperlink xmlns:r="http://schemas.openxmlformats.org/officeDocument/2006/relationships" ref="M48" r:id="rId111"/>
    <hyperlink xmlns:r="http://schemas.openxmlformats.org/officeDocument/2006/relationships" ref="N48" r:id="rId112"/>
    <hyperlink xmlns:r="http://schemas.openxmlformats.org/officeDocument/2006/relationships" ref="Q48" r:id="rId113"/>
    <hyperlink xmlns:r="http://schemas.openxmlformats.org/officeDocument/2006/relationships" ref="AF48" r:id="rId114"/>
    <hyperlink xmlns:r="http://schemas.openxmlformats.org/officeDocument/2006/relationships" ref="N49" r:id="rId115"/>
    <hyperlink xmlns:r="http://schemas.openxmlformats.org/officeDocument/2006/relationships" ref="AF49" r:id="rId116"/>
    <hyperlink xmlns:r="http://schemas.openxmlformats.org/officeDocument/2006/relationships" ref="N50" r:id="rId117"/>
    <hyperlink xmlns:r="http://schemas.openxmlformats.org/officeDocument/2006/relationships" ref="AF50" r:id="rId118"/>
    <hyperlink xmlns:r="http://schemas.openxmlformats.org/officeDocument/2006/relationships" ref="M51" r:id="rId119"/>
    <hyperlink xmlns:r="http://schemas.openxmlformats.org/officeDocument/2006/relationships" ref="N51" r:id="rId120"/>
    <hyperlink xmlns:r="http://schemas.openxmlformats.org/officeDocument/2006/relationships" ref="P51" r:id="rId121"/>
    <hyperlink xmlns:r="http://schemas.openxmlformats.org/officeDocument/2006/relationships" ref="AF51" r:id="rId122"/>
    <hyperlink xmlns:r="http://schemas.openxmlformats.org/officeDocument/2006/relationships" ref="N52" r:id="rId123"/>
    <hyperlink xmlns:r="http://schemas.openxmlformats.org/officeDocument/2006/relationships" ref="AF52" r:id="rId124"/>
    <hyperlink xmlns:r="http://schemas.openxmlformats.org/officeDocument/2006/relationships" ref="M53" r:id="rId125"/>
    <hyperlink xmlns:r="http://schemas.openxmlformats.org/officeDocument/2006/relationships" ref="N53" r:id="rId126"/>
    <hyperlink xmlns:r="http://schemas.openxmlformats.org/officeDocument/2006/relationships" ref="AF53" r:id="rId127"/>
    <hyperlink xmlns:r="http://schemas.openxmlformats.org/officeDocument/2006/relationships" ref="N54" r:id="rId128"/>
    <hyperlink xmlns:r="http://schemas.openxmlformats.org/officeDocument/2006/relationships" ref="AF54" r:id="rId129"/>
    <hyperlink xmlns:r="http://schemas.openxmlformats.org/officeDocument/2006/relationships" ref="M55" r:id="rId130"/>
    <hyperlink xmlns:r="http://schemas.openxmlformats.org/officeDocument/2006/relationships" ref="N55" r:id="rId131"/>
    <hyperlink xmlns:r="http://schemas.openxmlformats.org/officeDocument/2006/relationships" ref="AF55" r:id="rId1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N13"/>
  <sheetViews>
    <sheetView workbookViewId="0">
      <pane xSplit="3" ySplit="1" topLeftCell="D2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30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45" customWidth="1" min="9" max="9"/>
    <col width="12" customWidth="1" min="10" max="10"/>
    <col width="36" customWidth="1" min="11" max="11"/>
    <col width="24" customWidth="1" min="12" max="12"/>
    <col width="14" customWidth="1" min="13" max="13"/>
    <col width="12" customWidth="1" min="14" max="14"/>
  </cols>
  <sheetData>
    <row r="1" ht="30" customHeight="1">
      <c r="A1" s="10" t="inlineStr">
        <is>
          <t>Record ID</t>
        </is>
      </c>
      <c r="B1" s="10" t="inlineStr">
        <is>
          <t>Status</t>
        </is>
      </c>
      <c r="C1" s="10" t="inlineStr">
        <is>
          <t>Company name</t>
        </is>
      </c>
      <c r="D1" s="10" t="inlineStr">
        <is>
          <t>Review flags (why)</t>
        </is>
      </c>
      <c r="E1" s="10" t="inlineStr">
        <is>
          <t>Phone</t>
        </is>
      </c>
      <c r="F1" s="10" t="inlineStr">
        <is>
          <t>E-mail</t>
        </is>
      </c>
      <c r="G1" s="10" t="inlineStr">
        <is>
          <t>Website</t>
        </is>
      </c>
      <c r="H1" s="10" t="inlineStr">
        <is>
          <t>VAT number</t>
        </is>
      </c>
      <c r="I1" s="10" t="inlineStr">
        <is>
          <t>Checks</t>
        </is>
      </c>
      <c r="J1" s="10" t="inlineStr">
        <is>
          <t>Source</t>
        </is>
      </c>
      <c r="K1" s="10" t="inlineStr">
        <is>
          <t>Source URL</t>
        </is>
      </c>
      <c r="L1" s="10" t="inlineStr">
        <is>
          <t>Resolution</t>
        </is>
      </c>
      <c r="M1" s="10" t="inlineStr">
        <is>
          <t>Resolved by</t>
        </is>
      </c>
      <c r="N1" s="10" t="inlineStr">
        <is>
          <t>Resolved on</t>
        </is>
      </c>
    </row>
    <row r="2">
      <c r="A2" s="11" t="inlineStr">
        <is>
          <t>KOR-0002</t>
        </is>
      </c>
      <c r="B2" s="11" t="inlineStr">
        <is>
          <t>NEEDS_REVIEW</t>
        </is>
      </c>
      <c r="C2" s="11" t="inlineStr">
        <is>
          <t>B'aristokat</t>
        </is>
      </c>
      <c r="D2" s="12" t="inlineStr">
        <is>
          <t>e-mail domain (baristokat.be) differs from website domain (baristokat-kattencafe.be) - review</t>
        </is>
      </c>
      <c r="E2" s="11" t="inlineStr">
        <is>
          <t>+32 495 43 46 40</t>
        </is>
      </c>
      <c r="F2" s="11" t="inlineStr">
        <is>
          <t>info@baristokat.be</t>
        </is>
      </c>
      <c r="G2" s="11" t="inlineStr">
        <is>
          <t>https://baristokat-kattencafe.be/</t>
        </is>
      </c>
      <c r="H2" s="11" t="n"/>
      <c r="I2" s="12" t="inlineStr">
        <is>
          <t>company_name: unverified
phone: unverified - mobile number (BE)
email: unverified
website: unverified</t>
        </is>
      </c>
      <c r="J2" s="11" t="inlineStr">
        <is>
          <t>osm</t>
        </is>
      </c>
      <c r="K2" s="11" t="inlineStr">
        <is>
          <t>https://www.openstreetmap.org/node/9288274414</t>
        </is>
      </c>
      <c r="L2" s="11" t="n"/>
      <c r="M2" s="11" t="n"/>
      <c r="N2" s="11" t="n"/>
    </row>
    <row r="3">
      <c r="A3" s="11" t="inlineStr">
        <is>
          <t>KOR-0008</t>
        </is>
      </c>
      <c r="B3" s="11" t="inlineStr">
        <is>
          <t>NEEDS_REVIEW</t>
        </is>
      </c>
      <c r="C3" s="11" t="inlineStr">
        <is>
          <t>Bistro 't Forum</t>
        </is>
      </c>
      <c r="D3" s="12" t="inlineStr">
        <is>
          <t>possible duplicate (DUP-003): same website domain but different name/address (branch or chain?) - names 43% similar - review
possible duplicate (DUP-004): same website domain but different name/address (branch or chain?) - names 27% similar - review</t>
        </is>
      </c>
      <c r="E3" s="11" t="n"/>
      <c r="F3" s="11" t="n"/>
      <c r="G3" s="11" t="inlineStr">
        <is>
          <t>https://www.vives.be/nl/kortrijk/bistro</t>
        </is>
      </c>
      <c r="H3" s="11" t="n"/>
      <c r="I3" s="12" t="inlineStr">
        <is>
          <t>company_name: unverified
website: unverified</t>
        </is>
      </c>
      <c r="J3" s="11" t="inlineStr">
        <is>
          <t>osm</t>
        </is>
      </c>
      <c r="K3" s="11" t="inlineStr">
        <is>
          <t>https://www.openstreetmap.org/node/8004386864</t>
        </is>
      </c>
      <c r="L3" s="11" t="n"/>
      <c r="M3" s="11" t="n"/>
      <c r="N3" s="11" t="n"/>
    </row>
    <row r="4">
      <c r="A4" s="11" t="inlineStr">
        <is>
          <t>KOR-0010</t>
        </is>
      </c>
      <c r="B4" s="11" t="inlineStr">
        <is>
          <t>NEEDS_REVIEW</t>
        </is>
      </c>
      <c r="C4" s="11" t="inlineStr">
        <is>
          <t>Bistro Tout Court</t>
        </is>
      </c>
      <c r="D4" s="12" t="inlineStr">
        <is>
          <t>note: merged 1 duplicate record(s) - same website domain; names 100% similar
merged duplicates disagree on: street: Budastraat vs Sint-Katharinastraat; house_number: 24 vs 105; postcode: 8500 vs 8501 - review</t>
        </is>
      </c>
      <c r="E4" s="11" t="inlineStr">
        <is>
          <t>+32 472 46 37 48</t>
        </is>
      </c>
      <c r="F4" s="11" t="n"/>
      <c r="G4" s="11" t="inlineStr">
        <is>
          <t>https://www.bistrotoutcourt.be/</t>
        </is>
      </c>
      <c r="H4" s="11" t="n"/>
      <c r="I4" s="12" t="inlineStr">
        <is>
          <t>company_name: unverified
phone: unverified - mobile number (BE)
website: unverified</t>
        </is>
      </c>
      <c r="J4" s="11" t="inlineStr">
        <is>
          <t>osm</t>
        </is>
      </c>
      <c r="K4" s="11" t="inlineStr">
        <is>
          <t>https://www.openstreetmap.org/node/6932290778</t>
        </is>
      </c>
      <c r="L4" s="11" t="n"/>
      <c r="M4" s="11" t="n"/>
      <c r="N4" s="11" t="n"/>
    </row>
    <row r="5">
      <c r="A5" s="11" t="inlineStr">
        <is>
          <t>KOR-0033</t>
        </is>
      </c>
      <c r="B5" s="11" t="inlineStr">
        <is>
          <t>NEEDS_REVIEW</t>
        </is>
      </c>
      <c r="C5" s="11" t="inlineStr">
        <is>
          <t>Kostbar</t>
        </is>
      </c>
      <c r="D5" s="12" t="inlineStr">
        <is>
          <t>source marks the business as closed (opening hours) - review
note: merged 1 duplicate record(s) - same phone, email; names 82% similar
merged duplicates disagree on: company_name: Kostbar vs Kostba(a)r - review</t>
        </is>
      </c>
      <c r="E5" s="11" t="inlineStr">
        <is>
          <t>+32 486 83 21 66</t>
        </is>
      </c>
      <c r="F5" s="11" t="inlineStr">
        <is>
          <t>els@kostbar-marke.be</t>
        </is>
      </c>
      <c r="G5" s="11" t="inlineStr">
        <is>
          <t>https://kostbar-marke.be/</t>
        </is>
      </c>
      <c r="H5" s="11" t="n"/>
      <c r="I5" s="12" t="inlineStr">
        <is>
          <t>company_name: conflict - differs between sources: Kostbar vs Kostba(a)r
phone: unverified - mobile number (BE)
email: unverified
website: unverified</t>
        </is>
      </c>
      <c r="J5" s="11" t="inlineStr">
        <is>
          <t>osm</t>
        </is>
      </c>
      <c r="K5" s="11" t="inlineStr">
        <is>
          <t>https://www.openstreetmap.org/node/11724904081</t>
        </is>
      </c>
      <c r="L5" s="11" t="n"/>
      <c r="M5" s="11" t="n"/>
      <c r="N5" s="11" t="n"/>
    </row>
    <row r="6">
      <c r="A6" s="11" t="inlineStr">
        <is>
          <t>KOR-0050</t>
        </is>
      </c>
      <c r="B6" s="11" t="inlineStr">
        <is>
          <t>NEEDS_REVIEW</t>
        </is>
      </c>
      <c r="C6" s="11" t="inlineStr">
        <is>
          <t>Storia Di</t>
        </is>
      </c>
      <c r="D6" s="12" t="inlineStr">
        <is>
          <t>possible duplicate (DUP-003): same website domain but different name/address (branch or chain?) - names 43% similar - review
possible duplicate (DUP-005): same website domain but different name/address (branch or chain?) - names 24% similar - review</t>
        </is>
      </c>
      <c r="E6" s="11" t="n"/>
      <c r="F6" s="11" t="n"/>
      <c r="G6" s="11" t="inlineStr">
        <is>
          <t>https://www.vives.be/nl/kortrijk/storiadi</t>
        </is>
      </c>
      <c r="H6" s="11" t="n"/>
      <c r="I6" s="12" t="inlineStr">
        <is>
          <t>company_name: unverified
website: unverified</t>
        </is>
      </c>
      <c r="J6" s="11" t="inlineStr">
        <is>
          <t>osm</t>
        </is>
      </c>
      <c r="K6" s="11" t="inlineStr">
        <is>
          <t>https://www.openstreetmap.org/node/8004386863</t>
        </is>
      </c>
      <c r="L6" s="11" t="n"/>
      <c r="M6" s="11" t="n"/>
      <c r="N6" s="11" t="n"/>
    </row>
    <row r="7">
      <c r="A7" s="11" t="inlineStr">
        <is>
          <t>KOR-0052</t>
        </is>
      </c>
      <c r="B7" s="11" t="inlineStr">
        <is>
          <t>NEEDS_REVIEW</t>
        </is>
      </c>
      <c r="C7" s="11" t="inlineStr">
        <is>
          <t>Thai Lin</t>
        </is>
      </c>
      <c r="D7" s="12" t="inlineStr">
        <is>
          <t>e-mail domain (thailin.be) differs from website domain (y-notthai.com) - review</t>
        </is>
      </c>
      <c r="E7" s="11" t="inlineStr">
        <is>
          <t>+32 56 51 20 48</t>
        </is>
      </c>
      <c r="F7" s="11" t="inlineStr">
        <is>
          <t>info@thailin.be</t>
        </is>
      </c>
      <c r="G7" s="11" t="inlineStr">
        <is>
          <t>http://www.y-notthai.com/</t>
        </is>
      </c>
      <c r="H7" s="11" t="n"/>
      <c r="I7" s="12" t="inlineStr">
        <is>
          <t>company_name: unverified
phone: unverified - fixed number (BE)
email: unverified
website: unverified</t>
        </is>
      </c>
      <c r="J7" s="11" t="inlineStr">
        <is>
          <t>osm</t>
        </is>
      </c>
      <c r="K7" s="11" t="inlineStr">
        <is>
          <t>https://www.openstreetmap.org/node/3839667142</t>
        </is>
      </c>
      <c r="L7" s="11" t="n"/>
      <c r="M7" s="11" t="n"/>
      <c r="N7" s="11" t="n"/>
    </row>
    <row r="8">
      <c r="A8" s="11" t="inlineStr">
        <is>
          <t>KOR-0053</t>
        </is>
      </c>
      <c r="B8" s="11" t="inlineStr">
        <is>
          <t>NEEDS_REVIEW</t>
        </is>
      </c>
      <c r="C8" s="11" t="inlineStr">
        <is>
          <t>The Cube</t>
        </is>
      </c>
      <c r="D8" s="12" t="inlineStr">
        <is>
          <t>possible duplicate (DUP-004): same website domain but different name/address (branch or chain?) - names 27% similar - review
possible duplicate (DUP-005): same website domain but different name/address (branch or chain?) - names 24% similar - review</t>
        </is>
      </c>
      <c r="E8" s="11" t="n"/>
      <c r="F8" s="11" t="n"/>
      <c r="G8" s="11" t="inlineStr">
        <is>
          <t>https://www.vives.be/nl/kortrijk/thecube</t>
        </is>
      </c>
      <c r="H8" s="11" t="n"/>
      <c r="I8" s="12" t="inlineStr">
        <is>
          <t>company_name: unverified
website: unverified</t>
        </is>
      </c>
      <c r="J8" s="11" t="inlineStr">
        <is>
          <t>osm</t>
        </is>
      </c>
      <c r="K8" s="11" t="inlineStr">
        <is>
          <t>https://www.openstreetmap.org/node/8004386862</t>
        </is>
      </c>
      <c r="L8" s="11" t="n"/>
      <c r="M8" s="11" t="n"/>
      <c r="N8" s="11" t="n"/>
    </row>
    <row r="9">
      <c r="A9" s="11" t="inlineStr">
        <is>
          <t>KOR-0055</t>
        </is>
      </c>
      <c r="B9" s="11" t="inlineStr">
        <is>
          <t>NEEDS_REVIEW</t>
        </is>
      </c>
      <c r="C9" s="11" t="inlineStr">
        <is>
          <t>Viva Sara Kaffee</t>
        </is>
      </c>
      <c r="D9" s="12" t="inlineStr">
        <is>
          <t>e-mail domain (vivasarakaffee.com) differs from website domain (vivasara.be) - review</t>
        </is>
      </c>
      <c r="E9" s="11" t="inlineStr">
        <is>
          <t>+32 56 21 72 70</t>
        </is>
      </c>
      <c r="F9" s="11" t="inlineStr">
        <is>
          <t>info@vivasarakaffee.com</t>
        </is>
      </c>
      <c r="G9" s="11" t="inlineStr">
        <is>
          <t>https://www.vivasara.be/nl/kaffee/kortrijk</t>
        </is>
      </c>
      <c r="H9" s="11" t="n"/>
      <c r="I9" s="12" t="inlineStr">
        <is>
          <t>company_name: unverified
phone: unverified - fixed number (BE)
email: unverified
website: unverified</t>
        </is>
      </c>
      <c r="J9" s="11" t="inlineStr">
        <is>
          <t>osm</t>
        </is>
      </c>
      <c r="K9" s="11" t="inlineStr">
        <is>
          <t>https://www.openstreetmap.org/node/4905761821</t>
        </is>
      </c>
      <c r="L9" s="11" t="n"/>
      <c r="M9" s="11" t="n"/>
      <c r="N9" s="11" t="n"/>
    </row>
    <row r="10">
      <c r="A10" s="11" t="inlineStr">
        <is>
          <t>KOR-0057</t>
        </is>
      </c>
      <c r="B10" s="11" t="inlineStr">
        <is>
          <t>EXCLUDED</t>
        </is>
      </c>
      <c r="C10" s="11" t="n"/>
      <c r="D10" s="12" t="inlineStr">
        <is>
          <t>missing required field: company name
missing company name - record unusable</t>
        </is>
      </c>
      <c r="E10" s="11" t="n"/>
      <c r="F10" s="11" t="n"/>
      <c r="G10" s="11" t="n"/>
      <c r="H10" s="11" t="n"/>
      <c r="I10" s="12" t="inlineStr"/>
      <c r="J10" s="11" t="inlineStr">
        <is>
          <t>osm</t>
        </is>
      </c>
      <c r="K10" s="11" t="inlineStr">
        <is>
          <t>https://www.openstreetmap.org/node/1289875895</t>
        </is>
      </c>
      <c r="L10" s="11" t="n"/>
      <c r="M10" s="11" t="n"/>
      <c r="N10" s="11" t="n"/>
    </row>
    <row r="11">
      <c r="A11" s="11" t="inlineStr">
        <is>
          <t>KOR-0058</t>
        </is>
      </c>
      <c r="B11" s="11" t="inlineStr">
        <is>
          <t>EXCLUDED</t>
        </is>
      </c>
      <c r="C11" s="11" t="n"/>
      <c r="D11" s="12" t="inlineStr">
        <is>
          <t>missing required field: company name
missing company name - record unusable</t>
        </is>
      </c>
      <c r="E11" s="11" t="n"/>
      <c r="F11" s="11" t="n"/>
      <c r="G11" s="11" t="n"/>
      <c r="H11" s="11" t="n"/>
      <c r="I11" s="12" t="inlineStr"/>
      <c r="J11" s="11" t="inlineStr">
        <is>
          <t>osm</t>
        </is>
      </c>
      <c r="K11" s="11" t="inlineStr">
        <is>
          <t>https://www.openstreetmap.org/node/1345512683</t>
        </is>
      </c>
      <c r="L11" s="11" t="n"/>
      <c r="M11" s="11" t="n"/>
      <c r="N11" s="11" t="n"/>
    </row>
    <row r="12">
      <c r="A12" s="11" t="inlineStr">
        <is>
          <t>KOR-0059</t>
        </is>
      </c>
      <c r="B12" s="11" t="inlineStr">
        <is>
          <t>EXCLUDED</t>
        </is>
      </c>
      <c r="C12" s="11" t="n"/>
      <c r="D12" s="12" t="inlineStr">
        <is>
          <t>missing required field: company name
missing company name - record unusable</t>
        </is>
      </c>
      <c r="E12" s="11" t="n"/>
      <c r="F12" s="11" t="n"/>
      <c r="G12" s="11" t="n"/>
      <c r="H12" s="11" t="n"/>
      <c r="I12" s="12" t="inlineStr"/>
      <c r="J12" s="11" t="inlineStr">
        <is>
          <t>osm</t>
        </is>
      </c>
      <c r="K12" s="11" t="inlineStr">
        <is>
          <t>https://www.openstreetmap.org/node/1345512687</t>
        </is>
      </c>
      <c r="L12" s="11" t="n"/>
      <c r="M12" s="11" t="n"/>
      <c r="N12" s="11" t="n"/>
    </row>
    <row r="13">
      <c r="A13" s="11" t="inlineStr">
        <is>
          <t>KOR-0060</t>
        </is>
      </c>
      <c r="B13" s="11" t="inlineStr">
        <is>
          <t>EXCLUDED</t>
        </is>
      </c>
      <c r="C13" s="11" t="n"/>
      <c r="D13" s="12" t="inlineStr">
        <is>
          <t>missing required field: company name
missing company name - record unusable</t>
        </is>
      </c>
      <c r="E13" s="11" t="n"/>
      <c r="F13" s="11" t="n"/>
      <c r="G13" s="11" t="n"/>
      <c r="H13" s="11" t="n"/>
      <c r="I13" s="12" t="inlineStr"/>
      <c r="J13" s="11" t="inlineStr">
        <is>
          <t>osm</t>
        </is>
      </c>
      <c r="K13" s="11" t="inlineStr">
        <is>
          <t>https://www.openstreetmap.org/node/2185620628</t>
        </is>
      </c>
      <c r="L13" s="11" t="n"/>
      <c r="M13" s="11" t="n"/>
      <c r="N13" s="11" t="n"/>
    </row>
  </sheetData>
  <autoFilter ref="A1:N13"/>
  <conditionalFormatting sqref="B2:B100000">
    <cfRule type="cellIs" priority="1" operator="equal" dxfId="0">
      <formula>"VERIFIED"</formula>
    </cfRule>
    <cfRule type="cellIs" priority="2" operator="equal" dxfId="1">
      <formula>"PARTIALLY_VERIFIED"</formula>
    </cfRule>
    <cfRule type="cellIs" priority="3" operator="equal" dxfId="2">
      <formula>"UNVERIFIED"</formula>
    </cfRule>
    <cfRule type="cellIs" priority="4" operator="equal" dxfId="3">
      <formula>"NEEDS_REVIEW"</formula>
    </cfRule>
    <cfRule type="cellIs" priority="5" operator="equal" dxfId="4">
      <formula>"EXCLUDED"</formula>
    </cfRule>
  </conditionalFormatting>
  <dataValidations count="1">
    <dataValidation sqref="L2:L100000" showDropDown="0" showInputMessage="0" showErrorMessage="0" allowBlank="1" type="list">
      <formula1>"Fixed,Confirmed correct,Rejected - remove,Could not verify,Contacted company"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30" customWidth="1" min="4" max="4"/>
    <col width="18" customWidth="1" min="5" max="5"/>
    <col width="30" customWidth="1" min="6" max="6"/>
    <col width="60" customWidth="1" min="7" max="7"/>
    <col width="12" customWidth="1" min="8" max="8"/>
    <col width="22" customWidth="1" min="9" max="9"/>
  </cols>
  <sheetData>
    <row r="1" ht="30" customHeight="1">
      <c r="A1" s="10" t="inlineStr">
        <is>
          <t>Group</t>
        </is>
      </c>
      <c r="B1" s="10" t="inlineStr">
        <is>
          <t>Action</t>
        </is>
      </c>
      <c r="C1" s="10" t="inlineStr">
        <is>
          <t>Kept record</t>
        </is>
      </c>
      <c r="D1" s="10" t="inlineStr">
        <is>
          <t>Kept name</t>
        </is>
      </c>
      <c r="E1" s="10" t="inlineStr">
        <is>
          <t>Other record(s)</t>
        </is>
      </c>
      <c r="F1" s="10" t="inlineStr">
        <is>
          <t>Other name(s)</t>
        </is>
      </c>
      <c r="G1" s="10" t="inlineStr">
        <is>
          <t>Reason</t>
        </is>
      </c>
      <c r="H1" s="10" t="inlineStr">
        <is>
          <t>Name similarity %</t>
        </is>
      </c>
      <c r="I1" s="10" t="inlineStr">
        <is>
          <t>Decision</t>
        </is>
      </c>
    </row>
    <row r="2">
      <c r="A2" s="11" t="inlineStr">
        <is>
          <t>DUP-001</t>
        </is>
      </c>
      <c r="B2" s="11" t="inlineStr">
        <is>
          <t>merged automatically</t>
        </is>
      </c>
      <c r="C2" s="11" t="inlineStr">
        <is>
          <t>KOR-0010</t>
        </is>
      </c>
      <c r="D2" s="11" t="inlineStr">
        <is>
          <t>Bistro Tout Court</t>
        </is>
      </c>
      <c r="E2" s="11" t="inlineStr">
        <is>
          <t>KOR-0011</t>
        </is>
      </c>
      <c r="F2" s="12" t="inlineStr">
        <is>
          <t>Bistro Tout Court</t>
        </is>
      </c>
      <c r="G2" s="12" t="inlineStr">
        <is>
          <t>same website domain; names 100% similar</t>
        </is>
      </c>
      <c r="H2" s="11" t="n">
        <v>100</v>
      </c>
      <c r="I2" s="11" t="n"/>
    </row>
    <row r="3">
      <c r="A3" s="11" t="inlineStr">
        <is>
          <t>DUP-002</t>
        </is>
      </c>
      <c r="B3" s="11" t="inlineStr">
        <is>
          <t>merged automatically</t>
        </is>
      </c>
      <c r="C3" s="11" t="inlineStr">
        <is>
          <t>KOR-0033</t>
        </is>
      </c>
      <c r="D3" s="11" t="inlineStr">
        <is>
          <t>Kostbar</t>
        </is>
      </c>
      <c r="E3" s="11" t="inlineStr">
        <is>
          <t>KOR-0032</t>
        </is>
      </c>
      <c r="F3" s="12" t="inlineStr">
        <is>
          <t>Kostba(a)r</t>
        </is>
      </c>
      <c r="G3" s="12" t="inlineStr">
        <is>
          <t>same phone, email; names 82% similar</t>
        </is>
      </c>
      <c r="H3" s="11" t="n">
        <v>82</v>
      </c>
      <c r="I3" s="11" t="n"/>
    </row>
    <row r="4">
      <c r="A4" s="11" t="inlineStr">
        <is>
          <t>DUP-003</t>
        </is>
      </c>
      <c r="B4" s="11" t="inlineStr">
        <is>
          <t>POSSIBLE duplicate - decide</t>
        </is>
      </c>
      <c r="C4" s="11" t="inlineStr">
        <is>
          <t>KOR-0008</t>
        </is>
      </c>
      <c r="D4" s="11" t="inlineStr">
        <is>
          <t>Bistro 't Forum</t>
        </is>
      </c>
      <c r="E4" s="11" t="inlineStr">
        <is>
          <t>KOR-0050</t>
        </is>
      </c>
      <c r="F4" s="12" t="inlineStr">
        <is>
          <t>Storia Di</t>
        </is>
      </c>
      <c r="G4" s="12" t="inlineStr">
        <is>
          <t>same website domain but different name/address (branch or chain?) - names 43% similar</t>
        </is>
      </c>
      <c r="H4" s="11" t="n">
        <v>43</v>
      </c>
      <c r="I4" s="11" t="n"/>
    </row>
    <row r="5">
      <c r="A5" s="11" t="inlineStr">
        <is>
          <t>DUP-004</t>
        </is>
      </c>
      <c r="B5" s="11" t="inlineStr">
        <is>
          <t>POSSIBLE duplicate - decide</t>
        </is>
      </c>
      <c r="C5" s="11" t="inlineStr">
        <is>
          <t>KOR-0008</t>
        </is>
      </c>
      <c r="D5" s="11" t="inlineStr">
        <is>
          <t>Bistro 't Forum</t>
        </is>
      </c>
      <c r="E5" s="11" t="inlineStr">
        <is>
          <t>KOR-0053</t>
        </is>
      </c>
      <c r="F5" s="12" t="inlineStr">
        <is>
          <t>The Cube</t>
        </is>
      </c>
      <c r="G5" s="12" t="inlineStr">
        <is>
          <t>same website domain but different name/address (branch or chain?) - names 27% similar</t>
        </is>
      </c>
      <c r="H5" s="11" t="n">
        <v>27</v>
      </c>
      <c r="I5" s="11" t="n"/>
    </row>
    <row r="6">
      <c r="A6" s="11" t="inlineStr">
        <is>
          <t>DUP-005</t>
        </is>
      </c>
      <c r="B6" s="11" t="inlineStr">
        <is>
          <t>POSSIBLE duplicate - decide</t>
        </is>
      </c>
      <c r="C6" s="11" t="inlineStr">
        <is>
          <t>KOR-0050</t>
        </is>
      </c>
      <c r="D6" s="11" t="inlineStr">
        <is>
          <t>Storia Di</t>
        </is>
      </c>
      <c r="E6" s="11" t="inlineStr">
        <is>
          <t>KOR-0053</t>
        </is>
      </c>
      <c r="F6" s="12" t="inlineStr">
        <is>
          <t>The Cube</t>
        </is>
      </c>
      <c r="G6" s="12" t="inlineStr">
        <is>
          <t>same website domain but different name/address (branch or chain?) - names 24% similar</t>
        </is>
      </c>
      <c r="H6" s="11" t="n">
        <v>24</v>
      </c>
      <c r="I6" s="11" t="n"/>
    </row>
  </sheetData>
  <conditionalFormatting sqref="B2:B100000">
    <cfRule type="expression" priority="1" dxfId="4">
      <formula>LEFT(B2,8)="POSSIBLE"</formula>
    </cfRule>
  </conditionalFormatting>
  <dataValidations count="1">
    <dataValidation sqref="I2:I100000" showDropDown="0" showInputMessage="0" showErrorMessage="0" allowBlank="1" type="list">
      <formula1>"Same entity - merge,Different entities - keep both,Unsure"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70" customWidth="1" min="5" max="5"/>
  </cols>
  <sheetData>
    <row r="1">
      <c r="A1" s="1" t="inlineStr">
        <is>
          <t>Run log</t>
        </is>
      </c>
    </row>
    <row r="3">
      <c r="A3" s="3" t="inlineStr">
        <is>
          <t>Project</t>
        </is>
      </c>
      <c r="B3" t="inlineStr">
        <is>
          <t>kortrijk_restaurants</t>
        </is>
      </c>
    </row>
    <row r="4">
      <c r="A4" s="3" t="inlineStr">
        <is>
          <t>Title</t>
        </is>
      </c>
      <c r="B4" t="inlineStr">
        <is>
          <t>Restaurants &amp; cafés in Kortrijk (BE) - verified lead list</t>
        </is>
      </c>
    </row>
    <row r="5">
      <c r="A5" s="3" t="inlineStr">
        <is>
          <t>Client / requested by</t>
        </is>
      </c>
      <c r="B5" t="inlineStr">
        <is>
          <t>Example client - hospitality supplier (sales prospecting)</t>
        </is>
      </c>
    </row>
    <row r="6">
      <c r="A6" s="3" t="inlineStr">
        <is>
          <t>Deadline</t>
        </is>
      </c>
      <c r="B6" t="inlineStr">
        <is>
          <t>5 working days</t>
        </is>
      </c>
    </row>
    <row r="7">
      <c r="A7" s="3" t="inlineStr">
        <is>
          <t>Country rules</t>
        </is>
      </c>
      <c r="B7" t="inlineStr">
        <is>
          <t>BE</t>
        </is>
      </c>
    </row>
    <row r="8">
      <c r="A8" s="3" t="inlineStr">
        <is>
          <t>Schema</t>
        </is>
      </c>
      <c r="B8" t="inlineStr">
        <is>
          <t>leads</t>
        </is>
      </c>
    </row>
    <row r="9">
      <c r="A9" s="3" t="inlineStr">
        <is>
          <t>Started (UTC)</t>
        </is>
      </c>
      <c r="B9" t="inlineStr">
        <is>
          <t>2026-09-08T08:53:56+00:00</t>
        </is>
      </c>
    </row>
    <row r="10">
      <c r="A10" s="3" t="inlineStr">
        <is>
          <t>Tool</t>
        </is>
      </c>
      <c r="B10" t="inlineStr">
        <is>
          <t>DataHarvest 1.0.0</t>
        </is>
      </c>
    </row>
    <row r="11">
      <c r="A11" s="3" t="inlineStr">
        <is>
          <t>Python</t>
        </is>
      </c>
      <c r="B11" t="inlineStr">
        <is>
          <t>3.11.15</t>
        </is>
      </c>
    </row>
    <row r="12">
      <c r="A12" s="3" t="inlineStr">
        <is>
          <t>Sources</t>
        </is>
      </c>
      <c r="B12" t="inlineStr">
        <is>
          <t>osm</t>
        </is>
      </c>
    </row>
    <row r="13">
      <c r="A13" s="3" t="inlineStr">
        <is>
          <t>Record limit</t>
        </is>
      </c>
      <c r="B13" t="inlineStr">
        <is>
          <t>none</t>
        </is>
      </c>
    </row>
    <row r="14">
      <c r="A14" s="3" t="inlineStr">
        <is>
          <t>Records extracted</t>
        </is>
      </c>
      <c r="B14" t="n">
        <v>60</v>
      </c>
    </row>
    <row r="15">
      <c r="A15" s="3" t="inlineStr">
        <is>
          <t>Records delivered</t>
        </is>
      </c>
      <c r="B15" t="n">
        <v>54</v>
      </c>
    </row>
    <row r="17" ht="30" customHeight="1">
      <c r="A17" s="10" t="inlineStr">
        <is>
          <t>Stage</t>
        </is>
      </c>
      <c r="B17" s="10" t="inlineStr">
        <is>
          <t>Input</t>
        </is>
      </c>
      <c r="C17" s="10" t="inlineStr">
        <is>
          <t>Output</t>
        </is>
      </c>
      <c r="D17" s="10" t="inlineStr">
        <is>
          <t>Seconds</t>
        </is>
      </c>
      <c r="E17" s="10" t="inlineStr">
        <is>
          <t>Notes</t>
        </is>
      </c>
    </row>
    <row r="18">
      <c r="A18" s="11" t="inlineStr">
        <is>
          <t>extract</t>
        </is>
      </c>
      <c r="B18" s="11" t="n">
        <v>0</v>
      </c>
      <c r="C18" s="11" t="n">
        <v>60</v>
      </c>
      <c r="D18" s="11" t="n">
        <v>0.01</v>
      </c>
      <c r="E18" s="12" t="inlineStr">
        <is>
          <t>osm: 60</t>
        </is>
      </c>
    </row>
    <row r="19">
      <c r="A19" s="11" t="inlineStr">
        <is>
          <t>normalise</t>
        </is>
      </c>
      <c r="B19" s="11" t="n">
        <v>60</v>
      </c>
      <c r="C19" s="11" t="n">
        <v>60</v>
      </c>
      <c r="D19" s="11" t="n">
        <v>0</v>
      </c>
      <c r="E19" s="12" t="inlineStr"/>
    </row>
    <row r="20">
      <c r="A20" s="11" t="inlineStr">
        <is>
          <t>verify: e-mail domains &amp; phones</t>
        </is>
      </c>
      <c r="B20" s="11" t="n">
        <v>60</v>
      </c>
      <c r="C20" s="11" t="n">
        <v>60</v>
      </c>
      <c r="D20" s="11" t="n">
        <v>0</v>
      </c>
      <c r="E20" s="12" t="inlineStr">
        <is>
          <t>offline: mail domains not checked</t>
        </is>
      </c>
    </row>
    <row r="21">
      <c r="A21" s="11" t="inlineStr">
        <is>
          <t>validate</t>
        </is>
      </c>
      <c r="B21" s="11" t="n">
        <v>60</v>
      </c>
      <c r="C21" s="11" t="n">
        <v>60</v>
      </c>
      <c r="D21" s="11" t="n">
        <v>0</v>
      </c>
      <c r="E21" s="12" t="inlineStr">
        <is>
          <t>8 problem(s) flagged</t>
        </is>
      </c>
    </row>
    <row r="22">
      <c r="A22" s="11" t="inlineStr">
        <is>
          <t>dedupe</t>
        </is>
      </c>
      <c r="B22" s="11" t="n">
        <v>60</v>
      </c>
      <c r="C22" s="11" t="n">
        <v>58</v>
      </c>
      <c r="D22" s="11" t="n">
        <v>0.02</v>
      </c>
      <c r="E22" s="12" t="inlineStr">
        <is>
          <t>5 group(s), 2 record(s) merged</t>
        </is>
      </c>
    </row>
    <row r="23">
      <c r="A23" s="11" t="inlineStr">
        <is>
          <t>finalise</t>
        </is>
      </c>
      <c r="B23" s="11" t="n">
        <v>60</v>
      </c>
      <c r="C23" s="11" t="n">
        <v>54</v>
      </c>
      <c r="D23" s="11" t="n">
        <v>0</v>
      </c>
      <c r="E23" s="12" t="inlineStr"/>
    </row>
    <row r="24">
      <c r="A24" s="11" t="inlineStr">
        <is>
          <t>export</t>
        </is>
      </c>
      <c r="B24" s="11" t="n">
        <v>0</v>
      </c>
      <c r="C24" s="11" t="n">
        <v>0</v>
      </c>
      <c r="D24" s="11" t="n">
        <v>0.07000000000000001</v>
      </c>
      <c r="E24" s="12" t="inlineStr"/>
    </row>
    <row r="26">
      <c r="A26" s="3" t="inlineStr">
        <is>
          <t>Warnings</t>
        </is>
      </c>
    </row>
    <row r="27">
      <c r="A27" s="2" t="inlineStr">
        <is>
          <t>none</t>
        </is>
      </c>
    </row>
    <row r="29">
      <c r="A29" s="3" t="inlineStr">
        <is>
          <t>Settings</t>
        </is>
      </c>
    </row>
    <row r="30">
      <c r="A30" t="inlineStr">
        <is>
          <t>enrichment</t>
        </is>
      </c>
      <c r="B30" s="16" t="inlineStr">
        <is>
          <t>{'website': {'enabled': True, 'max_pages_per_site': 3, 'workers': 6, 'timeout': 15.0, 'respect_robots': True}, 'find_missing_websites': {'enabled': True, 'provider': 'auto', 'max_queries': 40, 'delay_seconds': 2.5}, 'vies': {'enabled': True, 'delay_seconds': 1.0}, 'apollo': {'enabled': False, 'max_lookups': 50}}</t>
        </is>
      </c>
    </row>
    <row r="31">
      <c r="A31" t="inlineStr">
        <is>
          <t>verification</t>
        </is>
      </c>
      <c r="B31" s="16" t="inlineStr">
        <is>
          <t>{'website_liveness': True, 'email_mx': True, 'phone_format': True}</t>
        </is>
      </c>
    </row>
    <row r="32">
      <c r="A32" t="inlineStr">
        <is>
          <t>dedupe</t>
        </is>
      </c>
      <c r="B32" s="16" t="inlineStr">
        <is>
          <t>{'enabled': True, 'name_similarity': 90, 'merge': True}</t>
        </is>
      </c>
    </row>
  </sheetData>
  <mergeCells count="3">
    <mergeCell ref="B31:E31"/>
    <mergeCell ref="B30:E30"/>
    <mergeCell ref="B32:E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9" customWidth="1" min="4" max="4"/>
    <col width="70" customWidth="1" min="5" max="5"/>
    <col width="60" customWidth="1" min="6" max="6"/>
  </cols>
  <sheetData>
    <row r="1" ht="30" customHeight="1">
      <c r="A1" s="10" t="inlineStr">
        <is>
          <t>Column</t>
        </is>
      </c>
      <c r="B1" s="10" t="inlineStr">
        <is>
          <t>Field key</t>
        </is>
      </c>
      <c r="C1" s="10" t="inlineStr">
        <is>
          <t>Type</t>
        </is>
      </c>
      <c r="D1" s="10" t="inlineStr">
        <is>
          <t>Required</t>
        </is>
      </c>
      <c r="E1" s="10" t="inlineStr">
        <is>
          <t>Description</t>
        </is>
      </c>
      <c r="F1" s="10" t="inlineStr">
        <is>
          <t>How it is verified</t>
        </is>
      </c>
    </row>
    <row r="2">
      <c r="A2" s="11" t="inlineStr">
        <is>
          <t>Record ID</t>
        </is>
      </c>
      <c r="B2" s="11" t="inlineStr">
        <is>
          <t>record_id</t>
        </is>
      </c>
      <c r="C2" s="11" t="inlineStr">
        <is>
          <t>system</t>
        </is>
      </c>
      <c r="D2" s="11" t="inlineStr"/>
      <c r="E2" s="12" t="inlineStr">
        <is>
          <t>Stable identifier of the row (referenced in the Duplicates and Needs Review sheets).</t>
        </is>
      </c>
      <c r="F2" s="12" t="inlineStr"/>
    </row>
    <row r="3">
      <c r="A3" s="11" t="inlineStr">
        <is>
          <t>Company name</t>
        </is>
      </c>
      <c r="B3" s="11" t="inlineStr">
        <is>
          <t>company_name</t>
        </is>
      </c>
      <c r="C3" s="11" t="inlineStr">
        <is>
          <t>string</t>
        </is>
      </c>
      <c r="D3" s="11" t="inlineStr">
        <is>
          <t>yes</t>
        </is>
      </c>
      <c r="E3" s="12" t="inlineStr">
        <is>
          <t>Trade name of the business as it presents itself publicly.</t>
        </is>
      </c>
      <c r="F3" s="12" t="inlineStr">
        <is>
          <t>Present in the primary source; confirmed when found on the company's own website.</t>
        </is>
      </c>
    </row>
    <row r="4">
      <c r="A4" s="11" t="inlineStr">
        <is>
          <t>Legal entity name</t>
        </is>
      </c>
      <c r="B4" s="11" t="inlineStr">
        <is>
          <t>legal_name</t>
        </is>
      </c>
      <c r="C4" s="11" t="inlineStr">
        <is>
          <t>string</t>
        </is>
      </c>
      <c r="D4" s="11" t="inlineStr"/>
      <c r="E4" s="12" t="inlineStr">
        <is>
          <t>Registered legal name (from the VAT register), when it differs from the trade name.</t>
        </is>
      </c>
      <c r="F4" s="12" t="inlineStr">
        <is>
          <t>Returned by the EU VIES VAT service for a valid VAT number.</t>
        </is>
      </c>
    </row>
    <row r="5">
      <c r="A5" s="11" t="inlineStr">
        <is>
          <t>Category</t>
        </is>
      </c>
      <c r="B5" s="11" t="inlineStr">
        <is>
          <t>category</t>
        </is>
      </c>
      <c r="C5" s="11" t="inlineStr">
        <is>
          <t>string</t>
        </is>
      </c>
      <c r="D5" s="11" t="inlineStr">
        <is>
          <t>yes</t>
        </is>
      </c>
      <c r="E5" s="12" t="inlineStr">
        <is>
          <t>Main business category (e.g. restaurant, cafe, software company).</t>
        </is>
      </c>
      <c r="F5" s="12" t="inlineStr"/>
    </row>
    <row r="6">
      <c r="A6" s="11" t="inlineStr">
        <is>
          <t>Subcategory</t>
        </is>
      </c>
      <c r="B6" s="11" t="inlineStr">
        <is>
          <t>subcategory</t>
        </is>
      </c>
      <c r="C6" s="11" t="inlineStr">
        <is>
          <t>string</t>
        </is>
      </c>
      <c r="D6" s="11" t="inlineStr"/>
      <c r="E6" s="12" t="inlineStr">
        <is>
          <t>Finer classification (e.g. cuisine type, industry).</t>
        </is>
      </c>
      <c r="F6" s="12" t="inlineStr"/>
    </row>
    <row r="7">
      <c r="A7" s="11" t="inlineStr">
        <is>
          <t>Street</t>
        </is>
      </c>
      <c r="B7" s="11" t="inlineStr">
        <is>
          <t>street</t>
        </is>
      </c>
      <c r="C7" s="11" t="inlineStr">
        <is>
          <t>string</t>
        </is>
      </c>
      <c r="D7" s="11" t="inlineStr"/>
      <c r="E7" s="12" t="inlineStr"/>
      <c r="F7" s="12" t="inlineStr"/>
    </row>
    <row r="8">
      <c r="A8" s="11" t="inlineStr">
        <is>
          <t>No.</t>
        </is>
      </c>
      <c r="B8" s="11" t="inlineStr">
        <is>
          <t>house_number</t>
        </is>
      </c>
      <c r="C8" s="11" t="inlineStr">
        <is>
          <t>string</t>
        </is>
      </c>
      <c r="D8" s="11" t="inlineStr"/>
      <c r="E8" s="12" t="inlineStr"/>
      <c r="F8" s="12" t="inlineStr"/>
    </row>
    <row r="9">
      <c r="A9" s="11" t="inlineStr">
        <is>
          <t>Postcode</t>
        </is>
      </c>
      <c r="B9" s="11" t="inlineStr">
        <is>
          <t>postcode</t>
        </is>
      </c>
      <c r="C9" s="11" t="inlineStr">
        <is>
          <t>postcode</t>
        </is>
      </c>
      <c r="D9" s="11" t="inlineStr"/>
      <c r="E9" s="12" t="inlineStr"/>
      <c r="F9" s="12" t="inlineStr">
        <is>
          <t>Format checked for the project country.</t>
        </is>
      </c>
    </row>
    <row r="10">
      <c r="A10" s="11" t="inlineStr">
        <is>
          <t>City</t>
        </is>
      </c>
      <c r="B10" s="11" t="inlineStr">
        <is>
          <t>city</t>
        </is>
      </c>
      <c r="C10" s="11" t="inlineStr">
        <is>
          <t>string</t>
        </is>
      </c>
      <c r="D10" s="11" t="inlineStr"/>
      <c r="E10" s="12" t="inlineStr"/>
      <c r="F10" s="12" t="inlineStr"/>
    </row>
    <row r="11">
      <c r="A11" s="11" t="inlineStr">
        <is>
          <t>District</t>
        </is>
      </c>
      <c r="B11" s="11" t="inlineStr">
        <is>
          <t>district</t>
        </is>
      </c>
      <c r="C11" s="11" t="inlineStr">
        <is>
          <t>string</t>
        </is>
      </c>
      <c r="D11" s="11" t="inlineStr"/>
      <c r="E11" s="12" t="inlineStr">
        <is>
          <t>Sub-municipality / neighbourhood when known.</t>
        </is>
      </c>
      <c r="F11" s="12" t="inlineStr"/>
    </row>
    <row r="12">
      <c r="A12" s="11" t="inlineStr">
        <is>
          <t>Country</t>
        </is>
      </c>
      <c r="B12" s="11" t="inlineStr">
        <is>
          <t>country</t>
        </is>
      </c>
      <c r="C12" s="11" t="inlineStr">
        <is>
          <t>string</t>
        </is>
      </c>
      <c r="D12" s="11" t="inlineStr"/>
      <c r="E12" s="12" t="inlineStr">
        <is>
          <t>ISO 3166-1 alpha-2 code.</t>
        </is>
      </c>
      <c r="F12" s="12" t="inlineStr"/>
    </row>
    <row r="13">
      <c r="A13" s="11" t="inlineStr">
        <is>
          <t>Phone</t>
        </is>
      </c>
      <c r="B13" s="11" t="inlineStr">
        <is>
          <t>phone</t>
        </is>
      </c>
      <c r="C13" s="11" t="inlineStr">
        <is>
          <t>phone</t>
        </is>
      </c>
      <c r="D13" s="11" t="inlineStr"/>
      <c r="E13" s="12" t="inlineStr"/>
      <c r="F13" s="12" t="inlineStr">
        <is>
          <t>Parsed and validated with libphonenumber; confirmed when the same number appears on the website.</t>
        </is>
      </c>
    </row>
    <row r="14">
      <c r="A14" s="11" t="inlineStr">
        <is>
          <t>E-mail</t>
        </is>
      </c>
      <c r="B14" s="11" t="inlineStr">
        <is>
          <t>email</t>
        </is>
      </c>
      <c r="C14" s="11" t="inlineStr">
        <is>
          <t>email</t>
        </is>
      </c>
      <c r="D14" s="11" t="inlineStr"/>
      <c r="E14" s="12" t="inlineStr"/>
      <c r="F14" s="12" t="inlineStr">
        <is>
          <t>Syntax check + mail-domain (MX) lookup; confirmed when found on the company's website.</t>
        </is>
      </c>
    </row>
    <row r="15">
      <c r="A15" s="11" t="inlineStr">
        <is>
          <t>Website</t>
        </is>
      </c>
      <c r="B15" s="11" t="inlineStr">
        <is>
          <t>website</t>
        </is>
      </c>
      <c r="C15" s="11" t="inlineStr">
        <is>
          <t>url</t>
        </is>
      </c>
      <c r="D15" s="11" t="inlineStr"/>
      <c r="E15" s="12" t="inlineStr"/>
      <c r="F15" s="12" t="inlineStr">
        <is>
          <t>Fetched live; confirmed when the company name appears on the page.</t>
        </is>
      </c>
    </row>
    <row r="16">
      <c r="A16" s="11" t="inlineStr">
        <is>
          <t>LinkedIn</t>
        </is>
      </c>
      <c r="B16" s="11" t="inlineStr">
        <is>
          <t>linkedin</t>
        </is>
      </c>
      <c r="C16" s="11" t="inlineStr">
        <is>
          <t>social</t>
        </is>
      </c>
      <c r="D16" s="11" t="inlineStr"/>
      <c r="E16" s="12" t="inlineStr"/>
      <c r="F16" s="12" t="inlineStr">
        <is>
          <t>Link found on the company's own website or supplied by the source.</t>
        </is>
      </c>
    </row>
    <row r="17">
      <c r="A17" s="11" t="inlineStr">
        <is>
          <t>Facebook</t>
        </is>
      </c>
      <c r="B17" s="11" t="inlineStr">
        <is>
          <t>facebook</t>
        </is>
      </c>
      <c r="C17" s="11" t="inlineStr">
        <is>
          <t>social</t>
        </is>
      </c>
      <c r="D17" s="11" t="inlineStr"/>
      <c r="E17" s="12" t="inlineStr"/>
      <c r="F17" s="12" t="inlineStr"/>
    </row>
    <row r="18">
      <c r="A18" s="11" t="inlineStr">
        <is>
          <t>Instagram</t>
        </is>
      </c>
      <c r="B18" s="11" t="inlineStr">
        <is>
          <t>instagram</t>
        </is>
      </c>
      <c r="C18" s="11" t="inlineStr">
        <is>
          <t>social</t>
        </is>
      </c>
      <c r="D18" s="11" t="inlineStr"/>
      <c r="E18" s="12" t="inlineStr"/>
      <c r="F18" s="12" t="inlineStr"/>
    </row>
    <row r="19">
      <c r="A19" s="11" t="inlineStr">
        <is>
          <t>VAT number</t>
        </is>
      </c>
      <c r="B19" s="11" t="inlineStr">
        <is>
          <t>vat_number</t>
        </is>
      </c>
      <c r="C19" s="11" t="inlineStr">
        <is>
          <t>vat</t>
        </is>
      </c>
      <c r="D19" s="11" t="inlineStr"/>
      <c r="E19" s="12" t="inlineStr"/>
      <c r="F19" s="12" t="inlineStr">
        <is>
          <t>Checksum validated; existence and registered name checked with the EU VIES service.</t>
        </is>
      </c>
    </row>
    <row r="20">
      <c r="A20" s="11" t="inlineStr">
        <is>
          <t>Opening hours</t>
        </is>
      </c>
      <c r="B20" s="11" t="inlineStr">
        <is>
          <t>opening_hours</t>
        </is>
      </c>
      <c r="C20" s="11" t="inlineStr">
        <is>
          <t>text</t>
        </is>
      </c>
      <c r="D20" s="11" t="inlineStr"/>
      <c r="E20" s="12" t="inlineStr"/>
      <c r="F20" s="12" t="inlineStr"/>
    </row>
    <row r="21">
      <c r="A21" s="11" t="inlineStr">
        <is>
          <t>Description</t>
        </is>
      </c>
      <c r="B21" s="11" t="inlineStr">
        <is>
          <t>description</t>
        </is>
      </c>
      <c r="C21" s="11" t="inlineStr">
        <is>
          <t>text</t>
        </is>
      </c>
      <c r="D21" s="11" t="inlineStr"/>
      <c r="E21" s="12" t="inlineStr"/>
      <c r="F21" s="12" t="inlineStr"/>
    </row>
    <row r="22">
      <c r="A22" s="11" t="inlineStr">
        <is>
          <t>Latitude</t>
        </is>
      </c>
      <c r="B22" s="11" t="inlineStr">
        <is>
          <t>latitude</t>
        </is>
      </c>
      <c r="C22" s="11" t="inlineStr">
        <is>
          <t>latitude</t>
        </is>
      </c>
      <c r="D22" s="11" t="inlineStr"/>
      <c r="E22" s="12" t="inlineStr"/>
      <c r="F22" s="12" t="inlineStr"/>
    </row>
    <row r="23">
      <c r="A23" s="11" t="inlineStr">
        <is>
          <t>Longitude</t>
        </is>
      </c>
      <c r="B23" s="11" t="inlineStr">
        <is>
          <t>longitude</t>
        </is>
      </c>
      <c r="C23" s="11" t="inlineStr">
        <is>
          <t>longitude</t>
        </is>
      </c>
      <c r="D23" s="11" t="inlineStr"/>
      <c r="E23" s="12" t="inlineStr"/>
      <c r="F23" s="12" t="inlineStr"/>
    </row>
    <row r="24">
      <c r="A24" s="11" t="inlineStr">
        <is>
          <t>Verification status</t>
        </is>
      </c>
      <c r="B24" s="11" t="inlineStr">
        <is>
          <t>status</t>
        </is>
      </c>
      <c r="C24" s="11" t="inlineStr">
        <is>
          <t>system</t>
        </is>
      </c>
      <c r="D24" s="11" t="inlineStr"/>
      <c r="E24" s="12" t="inlineStr">
        <is>
          <t>Overall record status: VERIFIED, PARTIALLY_VERIFIED, UNVERIFIED or NEEDS_REVIEW (see Summary legend).</t>
        </is>
      </c>
      <c r="F24" s="12" t="inlineStr"/>
    </row>
    <row r="25">
      <c r="A25" s="11" t="inlineStr">
        <is>
          <t>Review flags</t>
        </is>
      </c>
      <c r="B25" s="11" t="inlineStr">
        <is>
          <t>flags</t>
        </is>
      </c>
      <c r="C25" s="11" t="inlineStr">
        <is>
          <t>system</t>
        </is>
      </c>
      <c r="D25" s="11" t="inlineStr"/>
      <c r="E25" s="12" t="inlineStr">
        <is>
          <t>Everything a human should look at, one issue per line. Lines starting with 'note:' are informational.</t>
        </is>
      </c>
      <c r="F25" s="12" t="inlineStr"/>
    </row>
    <row r="26">
      <c r="A26" s="11" t="inlineStr">
        <is>
          <t>Completeness %</t>
        </is>
      </c>
      <c r="B26" s="11" t="inlineStr">
        <is>
          <t>completeness</t>
        </is>
      </c>
      <c r="C26" s="11" t="inlineStr">
        <is>
          <t>system</t>
        </is>
      </c>
      <c r="D26" s="11" t="inlineStr"/>
      <c r="E26" s="12" t="inlineStr">
        <is>
          <t>Share of schema fields that have a value (required fields weigh double).</t>
        </is>
      </c>
      <c r="F26" s="12" t="inlineStr"/>
    </row>
    <row r="27">
      <c r="A27" s="11" t="inlineStr">
        <is>
          <t>Company name check</t>
        </is>
      </c>
      <c r="B27" s="11" t="inlineStr">
        <is>
          <t>check:company_name</t>
        </is>
      </c>
      <c r="C27" s="11" t="inlineStr">
        <is>
          <t>status</t>
        </is>
      </c>
      <c r="D27" s="11" t="inlineStr"/>
      <c r="E27" s="12" t="inlineStr">
        <is>
          <t>Verification status of the field, with the reason and any other values seen in other sources.</t>
        </is>
      </c>
      <c r="F27" s="12" t="inlineStr"/>
    </row>
    <row r="28">
      <c r="A28" s="11" t="inlineStr">
        <is>
          <t>Website check</t>
        </is>
      </c>
      <c r="B28" s="11" t="inlineStr">
        <is>
          <t>check:website</t>
        </is>
      </c>
      <c r="C28" s="11" t="inlineStr">
        <is>
          <t>status</t>
        </is>
      </c>
      <c r="D28" s="11" t="inlineStr"/>
      <c r="E28" s="12" t="inlineStr">
        <is>
          <t>Verification status of the field, with the reason and any other values seen in other sources.</t>
        </is>
      </c>
      <c r="F28" s="12" t="inlineStr"/>
    </row>
    <row r="29">
      <c r="A29" s="11" t="inlineStr">
        <is>
          <t>E-mail check</t>
        </is>
      </c>
      <c r="B29" s="11" t="inlineStr">
        <is>
          <t>check:email</t>
        </is>
      </c>
      <c r="C29" s="11" t="inlineStr">
        <is>
          <t>status</t>
        </is>
      </c>
      <c r="D29" s="11" t="inlineStr"/>
      <c r="E29" s="12" t="inlineStr">
        <is>
          <t>Verification status of the field, with the reason and any other values seen in other sources.</t>
        </is>
      </c>
      <c r="F29" s="12" t="inlineStr"/>
    </row>
    <row r="30">
      <c r="A30" s="11" t="inlineStr">
        <is>
          <t>Phone check</t>
        </is>
      </c>
      <c r="B30" s="11" t="inlineStr">
        <is>
          <t>check:phone</t>
        </is>
      </c>
      <c r="C30" s="11" t="inlineStr">
        <is>
          <t>status</t>
        </is>
      </c>
      <c r="D30" s="11" t="inlineStr"/>
      <c r="E30" s="12" t="inlineStr">
        <is>
          <t>Verification status of the field, with the reason and any other values seen in other sources.</t>
        </is>
      </c>
      <c r="F30" s="12" t="inlineStr"/>
    </row>
    <row r="31">
      <c r="A31" s="11" t="inlineStr">
        <is>
          <t>VAT number check</t>
        </is>
      </c>
      <c r="B31" s="11" t="inlineStr">
        <is>
          <t>check:vat_number</t>
        </is>
      </c>
      <c r="C31" s="11" t="inlineStr">
        <is>
          <t>status</t>
        </is>
      </c>
      <c r="D31" s="11" t="inlineStr"/>
      <c r="E31" s="12" t="inlineStr">
        <is>
          <t>Verification status of the field, with the reason and any other values seen in other sources.</t>
        </is>
      </c>
      <c r="F31" s="12" t="inlineStr"/>
    </row>
    <row r="32">
      <c r="A32" s="11" t="inlineStr">
        <is>
          <t>Source</t>
        </is>
      </c>
      <c r="B32" s="11" t="inlineStr">
        <is>
          <t>source</t>
        </is>
      </c>
      <c r="C32" s="11" t="inlineStr">
        <is>
          <t>system</t>
        </is>
      </c>
      <c r="D32" s="11" t="inlineStr"/>
      <c r="E32" s="12" t="inlineStr">
        <is>
          <t>Primary source the record was extracted from.</t>
        </is>
      </c>
      <c r="F32" s="12" t="inlineStr"/>
    </row>
    <row r="33">
      <c r="A33" s="11" t="inlineStr">
        <is>
          <t>Source URL</t>
        </is>
      </c>
      <c r="B33" s="11" t="inlineStr">
        <is>
          <t>source_url</t>
        </is>
      </c>
      <c r="C33" s="11" t="inlineStr">
        <is>
          <t>system</t>
        </is>
      </c>
      <c r="D33" s="11" t="inlineStr"/>
      <c r="E33" s="12" t="inlineStr">
        <is>
          <t>Link to the record in the primary source, for traceability.</t>
        </is>
      </c>
      <c r="F33" s="12" t="inlineStr"/>
    </row>
    <row r="34">
      <c r="A34" s="11" t="inlineStr">
        <is>
          <t>Duplicate group</t>
        </is>
      </c>
      <c r="B34" s="11" t="inlineStr">
        <is>
          <t>duplicate_group</t>
        </is>
      </c>
      <c r="C34" s="11" t="inlineStr">
        <is>
          <t>system</t>
        </is>
      </c>
      <c r="D34" s="11" t="inlineStr"/>
      <c r="E34" s="12" t="inlineStr">
        <is>
          <t>Set when the record was part of a duplicate cluster (see Duplicates sheet).</t>
        </is>
      </c>
      <c r="F34" s="12" t="inlineStr"/>
    </row>
    <row r="35">
      <c r="A35" s="11" t="inlineStr">
        <is>
          <t>Extracted at (UTC)</t>
        </is>
      </c>
      <c r="B35" s="11" t="inlineStr">
        <is>
          <t>extracted_at</t>
        </is>
      </c>
      <c r="C35" s="11" t="inlineStr">
        <is>
          <t>system</t>
        </is>
      </c>
      <c r="D35" s="11" t="inlineStr"/>
      <c r="E35" s="12" t="inlineStr">
        <is>
          <t>UTC timestamp of extraction.</t>
        </is>
      </c>
      <c r="F35" s="12" t="inlineStr"/>
    </row>
    <row r="36">
      <c r="A36" s="11" t="inlineStr">
        <is>
          <t>Reviewer decision</t>
        </is>
      </c>
      <c r="B36" s="11" t="inlineStr">
        <is>
          <t>reviewer_decision</t>
        </is>
      </c>
      <c r="C36" s="11" t="inlineStr">
        <is>
          <t>system</t>
        </is>
      </c>
      <c r="D36" s="11" t="inlineStr"/>
      <c r="E36" s="12" t="inlineStr">
        <is>
          <t>Manual QA outcome (drop-down). Left empty by the tool.</t>
        </is>
      </c>
      <c r="F36" s="12" t="inlineStr"/>
    </row>
    <row r="37">
      <c r="A37" s="11" t="inlineStr">
        <is>
          <t>Reviewer notes</t>
        </is>
      </c>
      <c r="B37" s="11" t="inlineStr">
        <is>
          <t>reviewer_notes</t>
        </is>
      </c>
      <c r="C37" s="11" t="inlineStr">
        <is>
          <t>system</t>
        </is>
      </c>
      <c r="D37" s="11" t="inlineStr"/>
      <c r="E37" s="12" t="inlineStr">
        <is>
          <t>Free text for the reviewer.</t>
        </is>
      </c>
      <c r="F37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2026-09-08T08:53:56Z</dcterms:created>
  <dcterms:modified xmlns:dcterms="http://purl.org/dc/terms/" xmlns:xsi="http://www.w3.org/2001/XMLSchema-instance" xsi:type="dcterms:W3CDTF">2026-09-08T08:53:56Z</dcterms:modified>
</cp:coreProperties>
</file>