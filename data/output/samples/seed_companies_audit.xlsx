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Needs Review" sheetId="3" state="visible" r:id="rId3"/>
    <sheet xmlns:r="http://schemas.openxmlformats.org/officeDocument/2006/relationships" name="Duplicates" sheetId="4" state="visible" r:id="rId4"/>
    <sheet xmlns:r="http://schemas.openxmlformats.org/officeDocument/2006/relationships" name="Run Log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1" hidden="1">'Leads'!$A$1:$AJ$11</definedName>
    <definedName name="_xlnm._FilterDatabase" localSheetId="2" hidden="1">'Needs Review'!$A$1:$N$5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1F4E78"/>
      <sz val="14"/>
    </font>
    <font>
      <i val="1"/>
      <color rgb="007F7F7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6">
    <dxf>
      <font>
        <color rgb="00006100"/>
      </font>
      <fill>
        <patternFill patternType="solid">
          <fgColor rgb="00C6EFCE"/>
        </patternFill>
      </fill>
    </dxf>
    <dxf>
      <font>
        <color rgb="001F4E78"/>
      </font>
      <fill>
        <patternFill patternType="solid">
          <fgColor rgb="00DDEBF7"/>
        </patternFill>
      </fill>
    </dxf>
    <dxf>
      <font>
        <color rgb="00595959"/>
      </font>
      <fill>
        <patternFill patternType="solid">
          <fgColor rgb="00EDEDED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i val="1"/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hollywok.be/" TargetMode="External" Id="rId1"/><Relationship Type="http://schemas.openxmlformats.org/officeDocument/2006/relationships/hyperlink" Target="mailto:info@vesperkortrijk.be" TargetMode="External" Id="rId2"/><Relationship Type="http://schemas.openxmlformats.org/officeDocument/2006/relationships/hyperlink" Target="https://www.bastakortrijk.be/" TargetMode="External" Id="rId3"/><Relationship Type="http://schemas.openxmlformats.org/officeDocument/2006/relationships/hyperlink" Target="mailto:eat@bowls-kortrijk.be" TargetMode="External" Id="rId4"/><Relationship Type="http://schemas.openxmlformats.org/officeDocument/2006/relationships/hyperlink" Target="https://www.bowls-kortrijk.be/" TargetMode="External" Id="rId5"/><Relationship Type="http://schemas.openxmlformats.org/officeDocument/2006/relationships/hyperlink" Target="mailto:info@frituurnatuur.be" TargetMode="External" Id="rId6"/><Relationship Type="http://schemas.openxmlformats.org/officeDocument/2006/relationships/hyperlink" Target="https://frituurnatuur.be/" TargetMode="External" Id="rId7"/><Relationship Type="http://schemas.openxmlformats.org/officeDocument/2006/relationships/hyperlink" Target="mailto:info@hollywok.be" TargetMode="External" Id="rId8"/><Relationship Type="http://schemas.openxmlformats.org/officeDocument/2006/relationships/hyperlink" Target="https://hollywok.be/" TargetMode="External" Id="rId9"/><Relationship Type="http://schemas.openxmlformats.org/officeDocument/2006/relationships/hyperlink" Target="mailto:info@vivasarakaffee.com" TargetMode="External" Id="rId10"/><Relationship Type="http://schemas.openxmlformats.org/officeDocument/2006/relationships/hyperlink" Target="https://vivasara.be/" TargetMode="External" Id="rId11"/><Relationship Type="http://schemas.openxmlformats.org/officeDocument/2006/relationships/hyperlink" Target="mailto:hello@this-domain-does-not-exist-9f8e7d.be" TargetMode="External" Id="rId12"/><Relationship Type="http://schemas.openxmlformats.org/officeDocument/2006/relationships/hyperlink" Target="https://www.this-domain-does-not-exist-9f8e7d.be/" TargetMode="External" Id="rId13"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50" customWidth="1" min="4" max="4"/>
  </cols>
  <sheetData>
    <row r="1">
      <c r="A1" s="1" t="inlineStr">
        <is>
          <t>Quality audit of seed_companies.csv</t>
        </is>
      </c>
    </row>
    <row r="2">
      <c r="A2" s="2" t="inlineStr">
        <is>
          <t>Live summary - the counts below are formulas and update when the data sheet is edited.</t>
        </is>
      </c>
    </row>
    <row r="4">
      <c r="A4" s="3" t="inlineStr">
        <is>
          <t>Records</t>
        </is>
      </c>
    </row>
    <row r="5">
      <c r="A5" t="inlineStr">
        <is>
          <t>Delivered records</t>
        </is>
      </c>
      <c r="B5">
        <f>COUNTA('Leads'!A:A)-1</f>
        <v/>
      </c>
    </row>
    <row r="6">
      <c r="A6" t="inlineStr">
        <is>
          <t>Verified</t>
        </is>
      </c>
      <c r="B6">
        <f>COUNTIF('Leads'!W:W,"VERIFIED")</f>
        <v/>
      </c>
      <c r="C6" s="4">
        <f>IF(B5=0,0,B6/B5)</f>
        <v/>
      </c>
    </row>
    <row r="7">
      <c r="A7" t="inlineStr">
        <is>
          <t>Partially verified</t>
        </is>
      </c>
      <c r="B7">
        <f>COUNTIF('Leads'!W:W,"PARTIALLY_VERIFIED")</f>
        <v/>
      </c>
      <c r="C7" s="4">
        <f>IF(B5=0,0,B7/B5)</f>
        <v/>
      </c>
    </row>
    <row r="8">
      <c r="A8" t="inlineStr">
        <is>
          <t>Unverified</t>
        </is>
      </c>
      <c r="B8">
        <f>COUNTIF('Leads'!W:W,"UNVERIFIED")</f>
        <v/>
      </c>
      <c r="C8" s="4">
        <f>IF(B5=0,0,B8/B5)</f>
        <v/>
      </c>
    </row>
    <row r="9">
      <c r="A9" t="inlineStr">
        <is>
          <t>Needs review</t>
        </is>
      </c>
      <c r="B9">
        <f>COUNTIF('Leads'!W:W,"NEEDS_REVIEW")</f>
        <v/>
      </c>
      <c r="C9" s="4">
        <f>IF(B5=0,0,B9/B5)</f>
        <v/>
      </c>
    </row>
    <row r="10">
      <c r="A10" t="inlineStr">
        <is>
          <t>Extracted before merge/exclusion</t>
        </is>
      </c>
      <c r="B10" t="n">
        <v>10</v>
      </c>
    </row>
    <row r="11">
      <c r="A11" t="inlineStr">
        <is>
          <t>Duplicate groups</t>
        </is>
      </c>
      <c r="B11" t="n">
        <v>1</v>
      </c>
    </row>
    <row r="12">
      <c r="A12" t="inlineStr">
        <is>
          <t>Reviewer decisions recorded</t>
        </is>
      </c>
      <c r="B12">
        <f>COUNTA('Leads'!AI:AI)-1</f>
        <v/>
      </c>
    </row>
    <row r="14">
      <c r="A14" s="3" t="inlineStr">
        <is>
          <t>Field completeness</t>
        </is>
      </c>
      <c r="B14" s="3" t="inlineStr">
        <is>
          <t>Filled</t>
        </is>
      </c>
      <c r="C14" s="3" t="inlineStr">
        <is>
          <t>Share</t>
        </is>
      </c>
      <c r="D14" s="3" t="inlineStr">
        <is>
          <t>How it is verified</t>
        </is>
      </c>
    </row>
    <row r="15">
      <c r="A15" t="inlineStr">
        <is>
          <t>Company name</t>
        </is>
      </c>
      <c r="B15">
        <f>COUNTA('Leads'!B:B)-1</f>
        <v/>
      </c>
      <c r="C15" s="4">
        <f>IF(B5=0,0,B15/B5)</f>
        <v/>
      </c>
      <c r="D15" s="5" t="inlineStr">
        <is>
          <t>Present in the primary source; confirmed when found on the company's own website.</t>
        </is>
      </c>
    </row>
    <row r="16">
      <c r="A16" t="inlineStr">
        <is>
          <t>Legal entity name</t>
        </is>
      </c>
      <c r="B16">
        <f>COUNTA('Leads'!C:C)-1</f>
        <v/>
      </c>
      <c r="C16" s="4">
        <f>IF(B5=0,0,B16/B5)</f>
        <v/>
      </c>
      <c r="D16" s="5" t="inlineStr">
        <is>
          <t>Returned by the EU VIES VAT service for a valid VAT number.</t>
        </is>
      </c>
    </row>
    <row r="17">
      <c r="A17" t="inlineStr">
        <is>
          <t>Category</t>
        </is>
      </c>
      <c r="B17">
        <f>COUNTA('Leads'!D:D)-1</f>
        <v/>
      </c>
      <c r="C17" s="4">
        <f>IF(B5=0,0,B17/B5)</f>
        <v/>
      </c>
      <c r="D17" s="5" t="inlineStr"/>
    </row>
    <row r="18">
      <c r="A18" t="inlineStr">
        <is>
          <t>Subcategory</t>
        </is>
      </c>
      <c r="B18">
        <f>COUNTA('Leads'!E:E)-1</f>
        <v/>
      </c>
      <c r="C18" s="4">
        <f>IF(B5=0,0,B18/B5)</f>
        <v/>
      </c>
      <c r="D18" s="5" t="inlineStr"/>
    </row>
    <row r="19">
      <c r="A19" t="inlineStr">
        <is>
          <t>Street</t>
        </is>
      </c>
      <c r="B19">
        <f>COUNTA('Leads'!F:F)-1</f>
        <v/>
      </c>
      <c r="C19" s="4">
        <f>IF(B5=0,0,B19/B5)</f>
        <v/>
      </c>
      <c r="D19" s="5" t="inlineStr"/>
    </row>
    <row r="20">
      <c r="A20" t="inlineStr">
        <is>
          <t>No.</t>
        </is>
      </c>
      <c r="B20">
        <f>COUNTA('Leads'!G:G)-1</f>
        <v/>
      </c>
      <c r="C20" s="4">
        <f>IF(B5=0,0,B20/B5)</f>
        <v/>
      </c>
      <c r="D20" s="5" t="inlineStr"/>
    </row>
    <row r="21">
      <c r="A21" t="inlineStr">
        <is>
          <t>Postcode</t>
        </is>
      </c>
      <c r="B21">
        <f>COUNTA('Leads'!H:H)-1</f>
        <v/>
      </c>
      <c r="C21" s="4">
        <f>IF(B5=0,0,B21/B5)</f>
        <v/>
      </c>
      <c r="D21" s="5" t="inlineStr">
        <is>
          <t>Format checked for the project country.</t>
        </is>
      </c>
    </row>
    <row r="22">
      <c r="A22" t="inlineStr">
        <is>
          <t>City</t>
        </is>
      </c>
      <c r="B22">
        <f>COUNTA('Leads'!I:I)-1</f>
        <v/>
      </c>
      <c r="C22" s="4">
        <f>IF(B5=0,0,B22/B5)</f>
        <v/>
      </c>
      <c r="D22" s="5" t="inlineStr"/>
    </row>
    <row r="23">
      <c r="A23" t="inlineStr">
        <is>
          <t>District</t>
        </is>
      </c>
      <c r="B23">
        <f>COUNTA('Leads'!J:J)-1</f>
        <v/>
      </c>
      <c r="C23" s="4">
        <f>IF(B5=0,0,B23/B5)</f>
        <v/>
      </c>
      <c r="D23" s="5" t="inlineStr"/>
    </row>
    <row r="24">
      <c r="A24" t="inlineStr">
        <is>
          <t>Country</t>
        </is>
      </c>
      <c r="B24">
        <f>COUNTA('Leads'!K:K)-1</f>
        <v/>
      </c>
      <c r="C24" s="4">
        <f>IF(B5=0,0,B24/B5)</f>
        <v/>
      </c>
      <c r="D24" s="5" t="inlineStr"/>
    </row>
    <row r="25">
      <c r="A25" t="inlineStr">
        <is>
          <t>Phone</t>
        </is>
      </c>
      <c r="B25">
        <f>COUNTA('Leads'!L:L)-1</f>
        <v/>
      </c>
      <c r="C25" s="4">
        <f>IF(B5=0,0,B25/B5)</f>
        <v/>
      </c>
      <c r="D25" s="5" t="inlineStr">
        <is>
          <t>Parsed and validated with libphonenumber; confirmed when the same number appears on the website.</t>
        </is>
      </c>
    </row>
    <row r="26">
      <c r="A26" t="inlineStr">
        <is>
          <t>E-mail</t>
        </is>
      </c>
      <c r="B26">
        <f>COUNTA('Leads'!M:M)-1</f>
        <v/>
      </c>
      <c r="C26" s="4">
        <f>IF(B5=0,0,B26/B5)</f>
        <v/>
      </c>
      <c r="D26" s="5" t="inlineStr">
        <is>
          <t>Syntax check + mail-domain (MX) lookup; confirmed when found on the company's website.</t>
        </is>
      </c>
    </row>
    <row r="27">
      <c r="A27" t="inlineStr">
        <is>
          <t>Website</t>
        </is>
      </c>
      <c r="B27">
        <f>COUNTA('Leads'!N:N)-1</f>
        <v/>
      </c>
      <c r="C27" s="4">
        <f>IF(B5=0,0,B27/B5)</f>
        <v/>
      </c>
      <c r="D27" s="5" t="inlineStr">
        <is>
          <t>Fetched live; confirmed when the company name appears on the page.</t>
        </is>
      </c>
    </row>
    <row r="28">
      <c r="A28" t="inlineStr">
        <is>
          <t>LinkedIn</t>
        </is>
      </c>
      <c r="B28">
        <f>COUNTA('Leads'!O:O)-1</f>
        <v/>
      </c>
      <c r="C28" s="4">
        <f>IF(B5=0,0,B28/B5)</f>
        <v/>
      </c>
      <c r="D28" s="5" t="inlineStr">
        <is>
          <t>Link found on the company's own website or supplied by the source.</t>
        </is>
      </c>
    </row>
    <row r="29">
      <c r="A29" t="inlineStr">
        <is>
          <t>Facebook</t>
        </is>
      </c>
      <c r="B29">
        <f>COUNTA('Leads'!P:P)-1</f>
        <v/>
      </c>
      <c r="C29" s="4">
        <f>IF(B5=0,0,B29/B5)</f>
        <v/>
      </c>
      <c r="D29" s="5" t="inlineStr"/>
    </row>
    <row r="30">
      <c r="A30" t="inlineStr">
        <is>
          <t>Instagram</t>
        </is>
      </c>
      <c r="B30">
        <f>COUNTA('Leads'!Q:Q)-1</f>
        <v/>
      </c>
      <c r="C30" s="4">
        <f>IF(B5=0,0,B30/B5)</f>
        <v/>
      </c>
      <c r="D30" s="5" t="inlineStr"/>
    </row>
    <row r="31">
      <c r="A31" t="inlineStr">
        <is>
          <t>VAT number</t>
        </is>
      </c>
      <c r="B31">
        <f>COUNTA('Leads'!R:R)-1</f>
        <v/>
      </c>
      <c r="C31" s="4">
        <f>IF(B5=0,0,B31/B5)</f>
        <v/>
      </c>
      <c r="D31" s="5" t="inlineStr">
        <is>
          <t>Checksum validated; existence and registered name checked with the EU VIES service.</t>
        </is>
      </c>
    </row>
    <row r="32">
      <c r="A32" t="inlineStr">
        <is>
          <t>Opening hours</t>
        </is>
      </c>
      <c r="B32">
        <f>COUNTA('Leads'!S:S)-1</f>
        <v/>
      </c>
      <c r="C32" s="4">
        <f>IF(B5=0,0,B32/B5)</f>
        <v/>
      </c>
      <c r="D32" s="5" t="inlineStr"/>
    </row>
    <row r="33">
      <c r="A33" t="inlineStr">
        <is>
          <t>Description</t>
        </is>
      </c>
      <c r="B33">
        <f>COUNTA('Leads'!T:T)-1</f>
        <v/>
      </c>
      <c r="C33" s="4">
        <f>IF(B5=0,0,B33/B5)</f>
        <v/>
      </c>
      <c r="D33" s="5" t="inlineStr"/>
    </row>
    <row r="34">
      <c r="A34" t="inlineStr">
        <is>
          <t>Latitude</t>
        </is>
      </c>
      <c r="B34">
        <f>COUNTA('Leads'!U:U)-1</f>
        <v/>
      </c>
      <c r="C34" s="4">
        <f>IF(B5=0,0,B34/B5)</f>
        <v/>
      </c>
      <c r="D34" s="5" t="inlineStr"/>
    </row>
    <row r="35">
      <c r="A35" t="inlineStr">
        <is>
          <t>Longitude</t>
        </is>
      </c>
      <c r="B35">
        <f>COUNTA('Leads'!V:V)-1</f>
        <v/>
      </c>
      <c r="C35" s="4">
        <f>IF(B5=0,0,B35/B5)</f>
        <v/>
      </c>
      <c r="D35" s="5" t="inlineStr"/>
    </row>
    <row r="37">
      <c r="A37" s="3" t="inlineStr">
        <is>
          <t>Verification of key fields</t>
        </is>
      </c>
      <c r="B37" s="3" t="inlineStr">
        <is>
          <t>verified</t>
        </is>
      </c>
      <c r="C37" s="3" t="inlineStr">
        <is>
          <t>unverified</t>
        </is>
      </c>
      <c r="D37" s="3" t="inlineStr">
        <is>
          <t>conflict / invalid</t>
        </is>
      </c>
    </row>
    <row r="38">
      <c r="A38" t="inlineStr">
        <is>
          <t>Company name check</t>
        </is>
      </c>
      <c r="B38">
        <f>COUNTIF('Leads'!Z:Z,"verified*")</f>
        <v/>
      </c>
      <c r="C38">
        <f>COUNTIF('Leads'!Z:Z,"unverified*")</f>
        <v/>
      </c>
      <c r="D38">
        <f>COUNTIF('Leads'!Z:Z,"conflict*")+COUNTIF('Leads'!Z:Z,"invalid*")</f>
        <v/>
      </c>
    </row>
    <row r="39">
      <c r="A39" t="inlineStr">
        <is>
          <t>Website check</t>
        </is>
      </c>
      <c r="B39">
        <f>COUNTIF('Leads'!AA:AA,"verified*")</f>
        <v/>
      </c>
      <c r="C39">
        <f>COUNTIF('Leads'!AA:AA,"unverified*")</f>
        <v/>
      </c>
      <c r="D39">
        <f>COUNTIF('Leads'!AA:AA,"conflict*")+COUNTIF('Leads'!AA:AA,"invalid*")</f>
        <v/>
      </c>
    </row>
    <row r="40">
      <c r="A40" t="inlineStr">
        <is>
          <t>E-mail check</t>
        </is>
      </c>
      <c r="B40">
        <f>COUNTIF('Leads'!AB:AB,"verified*")</f>
        <v/>
      </c>
      <c r="C40">
        <f>COUNTIF('Leads'!AB:AB,"unverified*")</f>
        <v/>
      </c>
      <c r="D40">
        <f>COUNTIF('Leads'!AB:AB,"conflict*")+COUNTIF('Leads'!AB:AB,"invalid*")</f>
        <v/>
      </c>
    </row>
    <row r="41">
      <c r="A41" t="inlineStr">
        <is>
          <t>Phone check</t>
        </is>
      </c>
      <c r="B41">
        <f>COUNTIF('Leads'!AC:AC,"verified*")</f>
        <v/>
      </c>
      <c r="C41">
        <f>COUNTIF('Leads'!AC:AC,"unverified*")</f>
        <v/>
      </c>
      <c r="D41">
        <f>COUNTIF('Leads'!AC:AC,"conflict*")+COUNTIF('Leads'!AC:AC,"invalid*")</f>
        <v/>
      </c>
    </row>
    <row r="42">
      <c r="A42" t="inlineStr">
        <is>
          <t>VAT number check</t>
        </is>
      </c>
      <c r="B42">
        <f>COUNTIF('Leads'!AD:AD,"verified*")</f>
        <v/>
      </c>
      <c r="C42">
        <f>COUNTIF('Leads'!AD:AD,"unverified*")</f>
        <v/>
      </c>
      <c r="D42">
        <f>COUNTIF('Leads'!AD:AD,"conflict*")+COUNTIF('Leads'!AD:AD,"invalid*")</f>
        <v/>
      </c>
    </row>
    <row r="44">
      <c r="A44" s="3" t="inlineStr">
        <is>
          <t>Sources</t>
        </is>
      </c>
    </row>
    <row r="45">
      <c r="A45" t="inlineStr">
        <is>
          <t>seed_companies.csv</t>
        </is>
      </c>
      <c r="B45">
        <f>COUNTIF('Leads'!AE:AE,"seed_companies.csv")</f>
        <v/>
      </c>
    </row>
    <row r="47">
      <c r="A47" s="3" t="inlineStr">
        <is>
          <t>Generated</t>
        </is>
      </c>
      <c r="B47" t="inlineStr">
        <is>
          <t>2026-09-08 09:01</t>
        </is>
      </c>
    </row>
    <row r="48">
      <c r="A48" s="3" t="inlineStr">
        <is>
          <t>Status legend</t>
        </is>
      </c>
    </row>
    <row r="49" ht="30" customHeight="1">
      <c r="A49" s="6" t="inlineStr">
        <is>
          <t>VERIFIED</t>
        </is>
      </c>
      <c r="B49" s="5" t="inlineStr">
        <is>
          <t>Required fields present; contact details confirmed by an independent check or a second source.</t>
        </is>
      </c>
    </row>
    <row r="50" ht="30" customHeight="1">
      <c r="A50" s="7" t="inlineStr">
        <is>
          <t>PARTIALLY VERIFIED</t>
        </is>
      </c>
      <c r="B50" s="5" t="inlineStr">
        <is>
          <t>At least one field confirmed; the rest is well-formed but single-source.</t>
        </is>
      </c>
    </row>
    <row r="51" ht="30" customHeight="1">
      <c r="A51" s="8" t="inlineStr">
        <is>
          <t>UNVERIFIED</t>
        </is>
      </c>
      <c r="B51" s="5" t="inlineStr">
        <is>
          <t>Well-formed data from one source; nothing could be cross-checked.</t>
        </is>
      </c>
    </row>
    <row r="52" ht="30" customHeight="1">
      <c r="A52" s="9" t="inlineStr">
        <is>
          <t>NEEDS REVIEW</t>
        </is>
      </c>
      <c r="B52" s="5" t="inlineStr">
        <is>
          <t>A check failed, sources disagree, a required field is missing or a duplicate is suspected - see Review flags.</t>
        </is>
      </c>
    </row>
  </sheetData>
  <mergeCells count="4">
    <mergeCell ref="B51:D51"/>
    <mergeCell ref="B52:D52"/>
    <mergeCell ref="B49:D49"/>
    <mergeCell ref="B50:D50"/>
  </mergeCells>
  <conditionalFormatting sqref="C5:C36">
    <cfRule type="dataBar" priority="1">
      <dataBar>
        <cfvo type="num" val="0"/>
        <cfvo type="num" val="1"/>
        <color rgb="0070AD47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AJ11"/>
  <sheetViews>
    <sheetView workbookViewId="0">
      <pane xSplit="2" ySplit="1" topLeftCell="C2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0" customWidth="1" min="3" max="3"/>
    <col width="16" customWidth="1" min="4" max="4"/>
    <col width="18" customWidth="1" min="5" max="5"/>
    <col width="24" customWidth="1" min="6" max="6"/>
    <col width="7" customWidth="1" min="7" max="7"/>
    <col width="10" customWidth="1" min="8" max="8"/>
    <col width="14" customWidth="1" min="9" max="9"/>
    <col width="12" customWidth="1" min="10" max="10"/>
    <col width="8" customWidth="1" min="11" max="11"/>
    <col width="18" customWidth="1" min="12" max="12"/>
    <col width="28" customWidth="1" min="13" max="13"/>
    <col width="32" customWidth="1" min="14" max="14"/>
    <col width="34" customWidth="1" min="15" max="15"/>
    <col width="30" customWidth="1" min="16" max="16"/>
    <col width="30" customWidth="1" min="17" max="17"/>
    <col width="16" customWidth="1" min="18" max="18"/>
    <col width="30" customWidth="1" min="19" max="19"/>
    <col width="40" customWidth="1" min="20" max="20"/>
    <col width="11" customWidth="1" min="21" max="21"/>
    <col width="11" customWidth="1" min="22" max="22"/>
    <col width="20" customWidth="1" min="23" max="23"/>
    <col width="55" customWidth="1" min="24" max="24"/>
    <col width="1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14" customWidth="1" min="31" max="31"/>
    <col width="40" customWidth="1" min="32" max="32"/>
    <col width="14" customWidth="1" min="33" max="33"/>
    <col width="20" customWidth="1" min="34" max="34"/>
    <col width="17" customWidth="1" min="35" max="35"/>
    <col width="30" customWidth="1" min="36" max="36"/>
  </cols>
  <sheetData>
    <row r="1" ht="30" customHeight="1">
      <c r="A1" s="10" t="inlineStr">
        <is>
          <t>Record ID</t>
        </is>
      </c>
      <c r="B1" s="10" t="inlineStr">
        <is>
          <t>Company name</t>
        </is>
      </c>
      <c r="C1" s="10" t="inlineStr">
        <is>
          <t>Legal entity name</t>
        </is>
      </c>
      <c r="D1" s="10" t="inlineStr">
        <is>
          <t>Category</t>
        </is>
      </c>
      <c r="E1" s="10" t="inlineStr">
        <is>
          <t>Subcategory</t>
        </is>
      </c>
      <c r="F1" s="10" t="inlineStr">
        <is>
          <t>Street</t>
        </is>
      </c>
      <c r="G1" s="10" t="inlineStr">
        <is>
          <t>No.</t>
        </is>
      </c>
      <c r="H1" s="10" t="inlineStr">
        <is>
          <t>Postcode</t>
        </is>
      </c>
      <c r="I1" s="10" t="inlineStr">
        <is>
          <t>City</t>
        </is>
      </c>
      <c r="J1" s="10" t="inlineStr">
        <is>
          <t>District</t>
        </is>
      </c>
      <c r="K1" s="10" t="inlineStr">
        <is>
          <t>Country</t>
        </is>
      </c>
      <c r="L1" s="10" t="inlineStr">
        <is>
          <t>Phone</t>
        </is>
      </c>
      <c r="M1" s="10" t="inlineStr">
        <is>
          <t>E-mail</t>
        </is>
      </c>
      <c r="N1" s="10" t="inlineStr">
        <is>
          <t>Website</t>
        </is>
      </c>
      <c r="O1" s="10" t="inlineStr">
        <is>
          <t>LinkedIn</t>
        </is>
      </c>
      <c r="P1" s="10" t="inlineStr">
        <is>
          <t>Facebook</t>
        </is>
      </c>
      <c r="Q1" s="10" t="inlineStr">
        <is>
          <t>Instagram</t>
        </is>
      </c>
      <c r="R1" s="10" t="inlineStr">
        <is>
          <t>VAT number</t>
        </is>
      </c>
      <c r="S1" s="10" t="inlineStr">
        <is>
          <t>Opening hours</t>
        </is>
      </c>
      <c r="T1" s="10" t="inlineStr">
        <is>
          <t>Description</t>
        </is>
      </c>
      <c r="U1" s="10" t="inlineStr">
        <is>
          <t>Latitude</t>
        </is>
      </c>
      <c r="V1" s="10" t="inlineStr">
        <is>
          <t>Longitude</t>
        </is>
      </c>
      <c r="W1" s="10" t="inlineStr">
        <is>
          <t>Verification status</t>
        </is>
      </c>
      <c r="X1" s="10" t="inlineStr">
        <is>
          <t>Review flags</t>
        </is>
      </c>
      <c r="Y1" s="10" t="inlineStr">
        <is>
          <t>Completeness %</t>
        </is>
      </c>
      <c r="Z1" s="10" t="inlineStr">
        <is>
          <t>Company name check</t>
        </is>
      </c>
      <c r="AA1" s="10" t="inlineStr">
        <is>
          <t>Website check</t>
        </is>
      </c>
      <c r="AB1" s="10" t="inlineStr">
        <is>
          <t>E-mail check</t>
        </is>
      </c>
      <c r="AC1" s="10" t="inlineStr">
        <is>
          <t>Phone check</t>
        </is>
      </c>
      <c r="AD1" s="10" t="inlineStr">
        <is>
          <t>VAT number check</t>
        </is>
      </c>
      <c r="AE1" s="10" t="inlineStr">
        <is>
          <t>Source</t>
        </is>
      </c>
      <c r="AF1" s="10" t="inlineStr">
        <is>
          <t>Source URL</t>
        </is>
      </c>
      <c r="AG1" s="10" t="inlineStr">
        <is>
          <t>Duplicate group</t>
        </is>
      </c>
      <c r="AH1" s="10" t="inlineStr">
        <is>
          <t>Extracted at (UTC)</t>
        </is>
      </c>
      <c r="AI1" s="10" t="inlineStr">
        <is>
          <t>Reviewer decision</t>
        </is>
      </c>
      <c r="AJ1" s="10" t="inlineStr">
        <is>
          <t>Reviewer notes</t>
        </is>
      </c>
    </row>
    <row r="2">
      <c r="A2" s="11" t="inlineStr">
        <is>
          <t>ROW-0002</t>
        </is>
      </c>
      <c r="B2" s="11" t="inlineStr">
        <is>
          <t>Hollywok</t>
        </is>
      </c>
      <c r="C2" s="11" t="n"/>
      <c r="D2" s="11" t="n"/>
      <c r="E2" s="11" t="n"/>
      <c r="F2" s="11" t="inlineStr">
        <is>
          <t>President Kennedylaan 100</t>
        </is>
      </c>
      <c r="G2" s="11" t="n"/>
      <c r="H2" s="11" t="inlineStr">
        <is>
          <t>8500</t>
        </is>
      </c>
      <c r="I2" s="11" t="inlineStr">
        <is>
          <t>Kortrijk</t>
        </is>
      </c>
      <c r="J2" s="11" t="n"/>
      <c r="K2" s="11" t="n"/>
      <c r="L2" s="11" t="inlineStr">
        <is>
          <t>+32 56 20 55 88</t>
        </is>
      </c>
      <c r="M2" s="11" t="n"/>
      <c r="N2" s="12" t="inlineStr">
        <is>
          <t>https://hollywok.be/</t>
        </is>
      </c>
      <c r="O2" s="11" t="n"/>
      <c r="P2" s="11" t="n"/>
      <c r="Q2" s="11" t="n"/>
      <c r="R2" s="11" t="n"/>
      <c r="S2" s="13" t="n"/>
      <c r="T2" s="13" t="inlineStr">
        <is>
          <t>met at trade fair, asked for a quote</t>
        </is>
      </c>
      <c r="U2" s="11" t="n"/>
      <c r="V2" s="11" t="n"/>
      <c r="W2" s="11" t="inlineStr">
        <is>
          <t>NEEDS_REVIEW</t>
        </is>
      </c>
      <c r="X2" s="13" t="inlineStr">
        <is>
          <t>duplicate group DUP-001: same phone; names 100% similar - review</t>
        </is>
      </c>
      <c r="Y2" s="14" t="n">
        <v>36.4</v>
      </c>
      <c r="Z2" s="13" t="inlineStr">
        <is>
          <t>unverified</t>
        </is>
      </c>
      <c r="AA2" s="13" t="inlineStr">
        <is>
          <t>unverified</t>
        </is>
      </c>
      <c r="AB2" s="13" t="inlineStr">
        <is>
          <t>missing</t>
        </is>
      </c>
      <c r="AC2" s="13" t="inlineStr">
        <is>
          <t>unverified</t>
        </is>
      </c>
      <c r="AD2" s="13" t="inlineStr">
        <is>
          <t>missing</t>
        </is>
      </c>
      <c r="AE2" s="11" t="inlineStr">
        <is>
          <t>seed_companies.csv</t>
        </is>
      </c>
      <c r="AF2" s="11" t="n"/>
      <c r="AG2" s="11" t="inlineStr">
        <is>
          <t>DUP-001</t>
        </is>
      </c>
      <c r="AH2" s="11" t="inlineStr">
        <is>
          <t>2026-09-08T09:01:00+00:00</t>
        </is>
      </c>
      <c r="AI2" s="11" t="n"/>
      <c r="AJ2" s="11" t="n"/>
    </row>
    <row r="3">
      <c r="A3" s="11" t="inlineStr">
        <is>
          <t>ROW-0003</t>
        </is>
      </c>
      <c r="B3" s="11" t="inlineStr">
        <is>
          <t>Vesper</t>
        </is>
      </c>
      <c r="C3" s="11" t="n"/>
      <c r="D3" s="11" t="n"/>
      <c r="E3" s="11" t="n"/>
      <c r="F3" s="11" t="inlineStr">
        <is>
          <t>Voorstraat 34</t>
        </is>
      </c>
      <c r="G3" s="11" t="n"/>
      <c r="H3" s="11" t="inlineStr">
        <is>
          <t>8500</t>
        </is>
      </c>
      <c r="I3" s="11" t="inlineStr">
        <is>
          <t>Kortrijk</t>
        </is>
      </c>
      <c r="J3" s="11" t="n"/>
      <c r="K3" s="11" t="n"/>
      <c r="L3" s="11" t="n"/>
      <c r="M3" s="12" t="inlineStr">
        <is>
          <t>info@vesperkortrijk.be</t>
        </is>
      </c>
      <c r="N3" s="11" t="n"/>
      <c r="O3" s="11" t="n"/>
      <c r="P3" s="11" t="n"/>
      <c r="Q3" s="11" t="n"/>
      <c r="R3" s="11" t="n"/>
      <c r="S3" s="13" t="n"/>
      <c r="T3" s="13" t="n"/>
      <c r="U3" s="11" t="n"/>
      <c r="V3" s="11" t="n"/>
      <c r="W3" s="11" t="inlineStr">
        <is>
          <t>UNVERIFIED</t>
        </is>
      </c>
      <c r="X3" s="13" t="n"/>
      <c r="Y3" s="14" t="n">
        <v>27.3</v>
      </c>
      <c r="Z3" s="13" t="inlineStr">
        <is>
          <t>unverified</t>
        </is>
      </c>
      <c r="AA3" s="13" t="inlineStr">
        <is>
          <t>missing</t>
        </is>
      </c>
      <c r="AB3" s="13" t="inlineStr">
        <is>
          <t>unverified</t>
        </is>
      </c>
      <c r="AC3" s="13" t="inlineStr">
        <is>
          <t>missing</t>
        </is>
      </c>
      <c r="AD3" s="13" t="inlineStr">
        <is>
          <t>missing</t>
        </is>
      </c>
      <c r="AE3" s="11" t="inlineStr">
        <is>
          <t>seed_companies.csv</t>
        </is>
      </c>
      <c r="AF3" s="11" t="n"/>
      <c r="AG3" s="11" t="n"/>
      <c r="AH3" s="11" t="inlineStr">
        <is>
          <t>2026-09-08T09:01:00+00:00</t>
        </is>
      </c>
      <c r="AI3" s="11" t="n"/>
      <c r="AJ3" s="11" t="n"/>
    </row>
    <row r="4">
      <c r="A4" s="11" t="inlineStr">
        <is>
          <t>ROW-0004</t>
        </is>
      </c>
      <c r="B4" s="11" t="inlineStr">
        <is>
          <t>Basta!</t>
        </is>
      </c>
      <c r="C4" s="11" t="n"/>
      <c r="D4" s="11" t="n"/>
      <c r="E4" s="11" t="n"/>
      <c r="F4" s="11" t="inlineStr">
        <is>
          <t>Havermarkt 3</t>
        </is>
      </c>
      <c r="G4" s="11" t="n"/>
      <c r="H4" s="11" t="inlineStr">
        <is>
          <t>8500</t>
        </is>
      </c>
      <c r="I4" s="11" t="inlineStr">
        <is>
          <t>Kortrijk</t>
        </is>
      </c>
      <c r="J4" s="11" t="n"/>
      <c r="K4" s="11" t="n"/>
      <c r="L4" s="11" t="inlineStr">
        <is>
          <t>+32 56 49 37 49</t>
        </is>
      </c>
      <c r="M4" s="11" t="n"/>
      <c r="N4" s="12" t="inlineStr">
        <is>
          <t>https://www.bastakortrijk.be/</t>
        </is>
      </c>
      <c r="O4" s="11" t="n"/>
      <c r="P4" s="11" t="n"/>
      <c r="Q4" s="11" t="n"/>
      <c r="R4" s="11" t="n"/>
      <c r="S4" s="13" t="n"/>
      <c r="T4" s="13" t="n"/>
      <c r="U4" s="11" t="n"/>
      <c r="V4" s="11" t="n"/>
      <c r="W4" s="11" t="inlineStr">
        <is>
          <t>UNVERIFIED</t>
        </is>
      </c>
      <c r="X4" s="13" t="n"/>
      <c r="Y4" s="14" t="n">
        <v>31.8</v>
      </c>
      <c r="Z4" s="13" t="inlineStr">
        <is>
          <t>unverified</t>
        </is>
      </c>
      <c r="AA4" s="13" t="inlineStr">
        <is>
          <t>unverified</t>
        </is>
      </c>
      <c r="AB4" s="13" t="inlineStr">
        <is>
          <t>missing</t>
        </is>
      </c>
      <c r="AC4" s="13" t="inlineStr">
        <is>
          <t>unverified</t>
        </is>
      </c>
      <c r="AD4" s="13" t="inlineStr">
        <is>
          <t>missing</t>
        </is>
      </c>
      <c r="AE4" s="11" t="inlineStr">
        <is>
          <t>seed_companies.csv</t>
        </is>
      </c>
      <c r="AF4" s="11" t="n"/>
      <c r="AG4" s="11" t="n"/>
      <c r="AH4" s="11" t="inlineStr">
        <is>
          <t>2026-09-08T09:01:00+00:00</t>
        </is>
      </c>
      <c r="AI4" s="11" t="n"/>
      <c r="AJ4" s="11" t="n"/>
    </row>
    <row r="5">
      <c r="A5" s="11" t="inlineStr">
        <is>
          <t>ROW-0005</t>
        </is>
      </c>
      <c r="B5" s="11" t="inlineStr">
        <is>
          <t>Bowls Asian Cuisine</t>
        </is>
      </c>
      <c r="C5" s="11" t="n"/>
      <c r="D5" s="11" t="n"/>
      <c r="E5" s="11" t="n"/>
      <c r="F5" s="11" t="inlineStr">
        <is>
          <t>Dolfijnkaai 12</t>
        </is>
      </c>
      <c r="G5" s="11" t="n"/>
      <c r="H5" s="11" t="inlineStr">
        <is>
          <t>8500</t>
        </is>
      </c>
      <c r="I5" s="11" t="inlineStr">
        <is>
          <t>Kortrijk</t>
        </is>
      </c>
      <c r="J5" s="11" t="n"/>
      <c r="K5" s="11" t="n"/>
      <c r="L5" s="11" t="inlineStr">
        <is>
          <t>+32 56 19 81 99</t>
        </is>
      </c>
      <c r="M5" s="12" t="inlineStr">
        <is>
          <t>eat@bowls-kortrijk.be</t>
        </is>
      </c>
      <c r="N5" s="12" t="inlineStr">
        <is>
          <t>https://www.bowls-kortrijk.be/</t>
        </is>
      </c>
      <c r="O5" s="11" t="n"/>
      <c r="P5" s="11" t="n"/>
      <c r="Q5" s="11" t="n"/>
      <c r="R5" s="11" t="n"/>
      <c r="S5" s="13" t="n"/>
      <c r="T5" s="13" t="n"/>
      <c r="U5" s="11" t="n"/>
      <c r="V5" s="11" t="n"/>
      <c r="W5" s="11" t="inlineStr">
        <is>
          <t>UNVERIFIED</t>
        </is>
      </c>
      <c r="X5" s="13" t="n"/>
      <c r="Y5" s="14" t="n">
        <v>36.4</v>
      </c>
      <c r="Z5" s="13" t="inlineStr">
        <is>
          <t>unverified</t>
        </is>
      </c>
      <c r="AA5" s="13" t="inlineStr">
        <is>
          <t>unverified</t>
        </is>
      </c>
      <c r="AB5" s="13" t="inlineStr">
        <is>
          <t>unverified</t>
        </is>
      </c>
      <c r="AC5" s="13" t="inlineStr">
        <is>
          <t>unverified</t>
        </is>
      </c>
      <c r="AD5" s="13" t="inlineStr">
        <is>
          <t>missing</t>
        </is>
      </c>
      <c r="AE5" s="11" t="inlineStr">
        <is>
          <t>seed_companies.csv</t>
        </is>
      </c>
      <c r="AF5" s="11" t="n"/>
      <c r="AG5" s="11" t="n"/>
      <c r="AH5" s="11" t="inlineStr">
        <is>
          <t>2026-09-08T09:01:00+00:00</t>
        </is>
      </c>
      <c r="AI5" s="11" t="n"/>
      <c r="AJ5" s="11" t="n"/>
    </row>
    <row r="6">
      <c r="A6" s="11" t="inlineStr">
        <is>
          <t>ROW-0006</t>
        </is>
      </c>
      <c r="B6" s="11" t="inlineStr">
        <is>
          <t>Dionysos</t>
        </is>
      </c>
      <c r="C6" s="11" t="n"/>
      <c r="D6" s="11" t="n"/>
      <c r="E6" s="11" t="n"/>
      <c r="F6" s="11" t="inlineStr">
        <is>
          <t>Doornikselaan 4</t>
        </is>
      </c>
      <c r="G6" s="11" t="n"/>
      <c r="H6" s="11" t="inlineStr">
        <is>
          <t>8500</t>
        </is>
      </c>
      <c r="I6" s="11" t="inlineStr">
        <is>
          <t>Kortrijk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3" t="n"/>
      <c r="T6" s="13" t="inlineStr">
        <is>
          <t>no website known - please research</t>
        </is>
      </c>
      <c r="U6" s="11" t="n"/>
      <c r="V6" s="11" t="n"/>
      <c r="W6" s="11" t="inlineStr">
        <is>
          <t>UNVERIFIED</t>
        </is>
      </c>
      <c r="X6" s="13" t="n"/>
      <c r="Y6" s="14" t="n">
        <v>27.3</v>
      </c>
      <c r="Z6" s="13" t="inlineStr">
        <is>
          <t>unverified</t>
        </is>
      </c>
      <c r="AA6" s="13" t="inlineStr">
        <is>
          <t>missing</t>
        </is>
      </c>
      <c r="AB6" s="13" t="inlineStr">
        <is>
          <t>missing</t>
        </is>
      </c>
      <c r="AC6" s="13" t="inlineStr">
        <is>
          <t>missing</t>
        </is>
      </c>
      <c r="AD6" s="13" t="inlineStr">
        <is>
          <t>missing</t>
        </is>
      </c>
      <c r="AE6" s="11" t="inlineStr">
        <is>
          <t>seed_companies.csv</t>
        </is>
      </c>
      <c r="AF6" s="11" t="n"/>
      <c r="AG6" s="11" t="n"/>
      <c r="AH6" s="11" t="inlineStr">
        <is>
          <t>2026-09-08T09:01:00+00:00</t>
        </is>
      </c>
      <c r="AI6" s="11" t="n"/>
      <c r="AJ6" s="11" t="n"/>
    </row>
    <row r="7">
      <c r="A7" s="11" t="inlineStr">
        <is>
          <t>ROW-0007</t>
        </is>
      </c>
      <c r="B7" s="11" t="inlineStr">
        <is>
          <t>Blauwe Hoeve</t>
        </is>
      </c>
      <c r="C7" s="11" t="n"/>
      <c r="D7" s="11" t="n"/>
      <c r="E7" s="11" t="n"/>
      <c r="F7" s="11" t="inlineStr">
        <is>
          <t>Doorniksesteenweg 15</t>
        </is>
      </c>
      <c r="G7" s="11" t="n"/>
      <c r="H7" s="11" t="inlineStr">
        <is>
          <t>8500</t>
        </is>
      </c>
      <c r="I7" s="11" t="inlineStr">
        <is>
          <t>Kortrijk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3" t="n"/>
      <c r="T7" s="13" t="n"/>
      <c r="U7" s="11" t="n"/>
      <c r="V7" s="11" t="n"/>
      <c r="W7" s="11" t="inlineStr">
        <is>
          <t>UNVERIFIED</t>
        </is>
      </c>
      <c r="X7" s="13" t="n"/>
      <c r="Y7" s="14" t="n">
        <v>22.7</v>
      </c>
      <c r="Z7" s="13" t="inlineStr">
        <is>
          <t>unverified</t>
        </is>
      </c>
      <c r="AA7" s="13" t="inlineStr">
        <is>
          <t>missing</t>
        </is>
      </c>
      <c r="AB7" s="13" t="inlineStr">
        <is>
          <t>missing</t>
        </is>
      </c>
      <c r="AC7" s="13" t="inlineStr">
        <is>
          <t>missing</t>
        </is>
      </c>
      <c r="AD7" s="13" t="inlineStr">
        <is>
          <t>missing</t>
        </is>
      </c>
      <c r="AE7" s="11" t="inlineStr">
        <is>
          <t>seed_companies.csv</t>
        </is>
      </c>
      <c r="AF7" s="11" t="n"/>
      <c r="AG7" s="11" t="n"/>
      <c r="AH7" s="11" t="inlineStr">
        <is>
          <t>2026-09-08T09:01:00+00:00</t>
        </is>
      </c>
      <c r="AI7" s="11" t="n"/>
      <c r="AJ7" s="11" t="n"/>
    </row>
    <row r="8">
      <c r="A8" s="11" t="inlineStr">
        <is>
          <t>ROW-0008</t>
        </is>
      </c>
      <c r="B8" s="11" t="inlineStr">
        <is>
          <t>Frituur Natuur</t>
        </is>
      </c>
      <c r="C8" s="11" t="n"/>
      <c r="D8" s="11" t="n"/>
      <c r="E8" s="11" t="n"/>
      <c r="F8" s="11" t="n"/>
      <c r="G8" s="11" t="n"/>
      <c r="H8" s="11" t="inlineStr">
        <is>
          <t>8510</t>
        </is>
      </c>
      <c r="I8" s="11" t="inlineStr">
        <is>
          <t>Marke</t>
        </is>
      </c>
      <c r="J8" s="11" t="n"/>
      <c r="K8" s="11" t="n"/>
      <c r="L8" s="11" t="n"/>
      <c r="M8" s="12" t="inlineStr">
        <is>
          <t>info@frituurnatuur.be</t>
        </is>
      </c>
      <c r="N8" s="12" t="inlineStr">
        <is>
          <t>https://frituurnatuur.be/</t>
        </is>
      </c>
      <c r="O8" s="11" t="n"/>
      <c r="P8" s="11" t="n"/>
      <c r="Q8" s="11" t="n"/>
      <c r="R8" s="11" t="n"/>
      <c r="S8" s="13" t="n"/>
      <c r="T8" s="13" t="inlineStr">
        <is>
          <t>VAT BE0629.985.405 on their receipt</t>
        </is>
      </c>
      <c r="U8" s="11" t="n"/>
      <c r="V8" s="11" t="n"/>
      <c r="W8" s="11" t="inlineStr">
        <is>
          <t>UNVERIFIED</t>
        </is>
      </c>
      <c r="X8" s="13" t="n"/>
      <c r="Y8" s="14" t="n">
        <v>31.8</v>
      </c>
      <c r="Z8" s="13" t="inlineStr">
        <is>
          <t>unverified</t>
        </is>
      </c>
      <c r="AA8" s="13" t="inlineStr">
        <is>
          <t>unverified</t>
        </is>
      </c>
      <c r="AB8" s="13" t="inlineStr">
        <is>
          <t>unverified</t>
        </is>
      </c>
      <c r="AC8" s="13" t="inlineStr">
        <is>
          <t>missing</t>
        </is>
      </c>
      <c r="AD8" s="13" t="inlineStr">
        <is>
          <t>missing</t>
        </is>
      </c>
      <c r="AE8" s="11" t="inlineStr">
        <is>
          <t>seed_companies.csv</t>
        </is>
      </c>
      <c r="AF8" s="11" t="n"/>
      <c r="AG8" s="11" t="n"/>
      <c r="AH8" s="11" t="inlineStr">
        <is>
          <t>2026-09-08T09:01:00+00:00</t>
        </is>
      </c>
      <c r="AI8" s="11" t="n"/>
      <c r="AJ8" s="11" t="n"/>
    </row>
    <row r="9">
      <c r="A9" s="11" t="inlineStr">
        <is>
          <t>ROW-0009</t>
        </is>
      </c>
      <c r="B9" s="11" t="inlineStr">
        <is>
          <t>Hollywok Kortrijk</t>
        </is>
      </c>
      <c r="C9" s="11" t="n"/>
      <c r="D9" s="11" t="n"/>
      <c r="E9" s="11" t="n"/>
      <c r="F9" s="11" t="inlineStr">
        <is>
          <t>President Kennedylaan 100</t>
        </is>
      </c>
      <c r="G9" s="11" t="n"/>
      <c r="H9" s="11" t="inlineStr">
        <is>
          <t>8500</t>
        </is>
      </c>
      <c r="I9" s="11" t="inlineStr">
        <is>
          <t>Kortrijk</t>
        </is>
      </c>
      <c r="J9" s="11" t="n"/>
      <c r="K9" s="11" t="n"/>
      <c r="L9" s="11" t="inlineStr">
        <is>
          <t>+32 56 20 55 88</t>
        </is>
      </c>
      <c r="M9" s="12" t="inlineStr">
        <is>
          <t>info@hollywok.be</t>
        </is>
      </c>
      <c r="N9" s="12" t="inlineStr">
        <is>
          <t>https://hollywok.be/</t>
        </is>
      </c>
      <c r="O9" s="11" t="n"/>
      <c r="P9" s="11" t="n"/>
      <c r="Q9" s="11" t="n"/>
      <c r="R9" s="11" t="n"/>
      <c r="S9" s="13" t="n"/>
      <c r="T9" s="13" t="inlineStr">
        <is>
          <t>entered twice by intern</t>
        </is>
      </c>
      <c r="U9" s="11" t="n"/>
      <c r="V9" s="11" t="n"/>
      <c r="W9" s="11" t="inlineStr">
        <is>
          <t>NEEDS_REVIEW</t>
        </is>
      </c>
      <c r="X9" s="13" t="inlineStr">
        <is>
          <t>duplicate group DUP-001: same phone; names 100% similar - review</t>
        </is>
      </c>
      <c r="Y9" s="14" t="n">
        <v>40.9</v>
      </c>
      <c r="Z9" s="13" t="inlineStr">
        <is>
          <t>unverified</t>
        </is>
      </c>
      <c r="AA9" s="13" t="inlineStr">
        <is>
          <t>unverified</t>
        </is>
      </c>
      <c r="AB9" s="13" t="inlineStr">
        <is>
          <t>unverified</t>
        </is>
      </c>
      <c r="AC9" s="13" t="inlineStr">
        <is>
          <t>unverified</t>
        </is>
      </c>
      <c r="AD9" s="13" t="inlineStr">
        <is>
          <t>missing</t>
        </is>
      </c>
      <c r="AE9" s="11" t="inlineStr">
        <is>
          <t>seed_companies.csv</t>
        </is>
      </c>
      <c r="AF9" s="11" t="n"/>
      <c r="AG9" s="11" t="inlineStr">
        <is>
          <t>DUP-001</t>
        </is>
      </c>
      <c r="AH9" s="11" t="inlineStr">
        <is>
          <t>2026-09-08T09:01:00+00:00</t>
        </is>
      </c>
      <c r="AI9" s="11" t="n"/>
      <c r="AJ9" s="11" t="n"/>
    </row>
    <row r="10">
      <c r="A10" s="11" t="inlineStr">
        <is>
          <t>ROW-0010</t>
        </is>
      </c>
      <c r="B10" s="11" t="inlineStr">
        <is>
          <t>Viva Sara Kaffee</t>
        </is>
      </c>
      <c r="C10" s="11" t="n"/>
      <c r="D10" s="11" t="n"/>
      <c r="E10" s="11" t="n"/>
      <c r="F10" s="11" t="inlineStr">
        <is>
          <t>Grote Markt 33</t>
        </is>
      </c>
      <c r="G10" s="11" t="n"/>
      <c r="H10" s="11" t="inlineStr">
        <is>
          <t>8500</t>
        </is>
      </c>
      <c r="I10" s="11" t="inlineStr">
        <is>
          <t>Kortrijk</t>
        </is>
      </c>
      <c r="J10" s="11" t="n"/>
      <c r="K10" s="11" t="n"/>
      <c r="L10" s="11" t="inlineStr">
        <is>
          <t>+32 56 21 72 70</t>
        </is>
      </c>
      <c r="M10" s="12" t="inlineStr">
        <is>
          <t>info@vivasarakaffee.com</t>
        </is>
      </c>
      <c r="N10" s="12" t="inlineStr">
        <is>
          <t>https://vivasara.be/</t>
        </is>
      </c>
      <c r="O10" s="11" t="n"/>
      <c r="P10" s="11" t="n"/>
      <c r="Q10" s="11" t="n"/>
      <c r="R10" s="11" t="n"/>
      <c r="S10" s="13" t="n"/>
      <c r="T10" s="13" t="n"/>
      <c r="U10" s="11" t="n"/>
      <c r="V10" s="11" t="n"/>
      <c r="W10" s="11" t="inlineStr">
        <is>
          <t>NEEDS_REVIEW</t>
        </is>
      </c>
      <c r="X10" s="13" t="inlineStr">
        <is>
          <t>e-mail domain (vivasarakaffee.com) differs from website domain (vivasara.be) - review</t>
        </is>
      </c>
      <c r="Y10" s="14" t="n">
        <v>36.4</v>
      </c>
      <c r="Z10" s="13" t="inlineStr">
        <is>
          <t>unverified</t>
        </is>
      </c>
      <c r="AA10" s="13" t="inlineStr">
        <is>
          <t>unverified</t>
        </is>
      </c>
      <c r="AB10" s="13" t="inlineStr">
        <is>
          <t>unverified</t>
        </is>
      </c>
      <c r="AC10" s="13" t="inlineStr">
        <is>
          <t>unverified</t>
        </is>
      </c>
      <c r="AD10" s="13" t="inlineStr">
        <is>
          <t>missing</t>
        </is>
      </c>
      <c r="AE10" s="11" t="inlineStr">
        <is>
          <t>seed_companies.csv</t>
        </is>
      </c>
      <c r="AF10" s="11" t="n"/>
      <c r="AG10" s="11" t="n"/>
      <c r="AH10" s="11" t="inlineStr">
        <is>
          <t>2026-09-08T09:01:00+00:00</t>
        </is>
      </c>
      <c r="AI10" s="11" t="n"/>
      <c r="AJ10" s="11" t="n"/>
    </row>
    <row r="11">
      <c r="A11" s="11" t="inlineStr">
        <is>
          <t>ROW-0011</t>
        </is>
      </c>
      <c r="B11" s="11" t="inlineStr">
        <is>
          <t>Restaurant Doesnotexist</t>
        </is>
      </c>
      <c r="C11" s="11" t="n"/>
      <c r="D11" s="11" t="n"/>
      <c r="E11" s="11" t="n"/>
      <c r="F11" s="11" t="inlineStr">
        <is>
          <t>Nowhere 1</t>
        </is>
      </c>
      <c r="G11" s="11" t="n"/>
      <c r="H11" s="11" t="inlineStr">
        <is>
          <t>ABCD</t>
        </is>
      </c>
      <c r="I11" s="11" t="inlineStr">
        <is>
          <t>Kortrijk</t>
        </is>
      </c>
      <c r="J11" s="11" t="n"/>
      <c r="K11" s="11" t="n"/>
      <c r="L11" s="11" t="inlineStr">
        <is>
          <t>+32 56 00 00 00</t>
        </is>
      </c>
      <c r="M11" s="12" t="inlineStr">
        <is>
          <t>hello@this-domain-does-not-exist-9f8e7d.be</t>
        </is>
      </c>
      <c r="N11" s="12" t="inlineStr">
        <is>
          <t>https://www.this-domain-does-not-exist-9f8e7d.be/</t>
        </is>
      </c>
      <c r="O11" s="11" t="n"/>
      <c r="P11" s="11" t="n"/>
      <c r="Q11" s="11" t="n"/>
      <c r="R11" s="11" t="n"/>
      <c r="S11" s="13" t="n"/>
      <c r="T11" s="13" t="inlineStr">
        <is>
          <t>test row: expected to be flagged</t>
        </is>
      </c>
      <c r="U11" s="11" t="n"/>
      <c r="V11" s="11" t="n"/>
      <c r="W11" s="11" t="inlineStr">
        <is>
          <t>NEEDS_REVIEW</t>
        </is>
      </c>
      <c r="X11" s="13" t="inlineStr">
        <is>
          <t>postcode invalid postcode for BE</t>
        </is>
      </c>
      <c r="Y11" s="14" t="n">
        <v>40.9</v>
      </c>
      <c r="Z11" s="13" t="inlineStr">
        <is>
          <t>unverified</t>
        </is>
      </c>
      <c r="AA11" s="13" t="inlineStr">
        <is>
          <t>unverified</t>
        </is>
      </c>
      <c r="AB11" s="13" t="inlineStr">
        <is>
          <t>unverified</t>
        </is>
      </c>
      <c r="AC11" s="13" t="inlineStr">
        <is>
          <t>unverified</t>
        </is>
      </c>
      <c r="AD11" s="13" t="inlineStr">
        <is>
          <t>missing</t>
        </is>
      </c>
      <c r="AE11" s="11" t="inlineStr">
        <is>
          <t>seed_companies.csv</t>
        </is>
      </c>
      <c r="AF11" s="11" t="n"/>
      <c r="AG11" s="11" t="n"/>
      <c r="AH11" s="11" t="inlineStr">
        <is>
          <t>2026-09-08T09:01:00+00:00</t>
        </is>
      </c>
      <c r="AI11" s="11" t="n"/>
      <c r="AJ11" s="11" t="n"/>
    </row>
  </sheetData>
  <autoFilter ref="A1:AJ11"/>
  <conditionalFormatting sqref="W2:W100000">
    <cfRule type="cellIs" priority="1" operator="equal" dxfId="0">
      <formula>"VERIFIED"</formula>
    </cfRule>
    <cfRule type="cellIs" priority="2" operator="equal" dxfId="1">
      <formula>"PARTIALLY_VERIFIED"</formula>
    </cfRule>
    <cfRule type="cellIs" priority="3" operator="equal" dxfId="2">
      <formula>"UNVERIFIED"</formula>
    </cfRule>
    <cfRule type="cellIs" priority="4" operator="equal" dxfId="3">
      <formula>"NEEDS_REVIEW"</formula>
    </cfRule>
    <cfRule type="cellIs" priority="5" operator="equal" dxfId="4">
      <formula>"EXCLUDED"</formula>
    </cfRule>
  </conditionalFormatting>
  <conditionalFormatting sqref="Y2:Y100000">
    <cfRule type="dataBar" priority="6">
      <dataBar>
        <cfvo type="num" val="0"/>
        <cfvo type="num" val="100"/>
        <color rgb="005B9BD5"/>
      </dataBar>
    </cfRule>
  </conditionalFormatting>
  <conditionalFormatting sqref="Z2:Z100000">
    <cfRule type="expression" priority="7" dxfId="0">
      <formula>LEFT(Z2,8)="verified"</formula>
    </cfRule>
    <cfRule type="expression" priority="8" dxfId="3">
      <formula>OR(LEFT(Z2,8)="conflict",LEFT(Z2,7)="invalid")</formula>
    </cfRule>
    <cfRule type="expression" priority="9" dxfId="2">
      <formula>LEFT(Z2,10)="unverified"</formula>
    </cfRule>
    <cfRule type="expression" priority="10" dxfId="5">
      <formula>Z2="missing"</formula>
    </cfRule>
  </conditionalFormatting>
  <conditionalFormatting sqref="AA2:AA100000">
    <cfRule type="expression" priority="11" dxfId="0">
      <formula>LEFT(AA2,8)="verified"</formula>
    </cfRule>
    <cfRule type="expression" priority="12" dxfId="3">
      <formula>OR(LEFT(AA2,8)="conflict",LEFT(AA2,7)="invalid")</formula>
    </cfRule>
    <cfRule type="expression" priority="13" dxfId="2">
      <formula>LEFT(AA2,10)="unverified"</formula>
    </cfRule>
    <cfRule type="expression" priority="14" dxfId="5">
      <formula>AA2="missing"</formula>
    </cfRule>
  </conditionalFormatting>
  <conditionalFormatting sqref="AB2:AB100000">
    <cfRule type="expression" priority="15" dxfId="0">
      <formula>LEFT(AB2,8)="verified"</formula>
    </cfRule>
    <cfRule type="expression" priority="16" dxfId="3">
      <formula>OR(LEFT(AB2,8)="conflict",LEFT(AB2,7)="invalid")</formula>
    </cfRule>
    <cfRule type="expression" priority="17" dxfId="2">
      <formula>LEFT(AB2,10)="unverified"</formula>
    </cfRule>
    <cfRule type="expression" priority="18" dxfId="5">
      <formula>AB2="missing"</formula>
    </cfRule>
  </conditionalFormatting>
  <conditionalFormatting sqref="AC2:AC100000">
    <cfRule type="expression" priority="19" dxfId="0">
      <formula>LEFT(AC2,8)="verified"</formula>
    </cfRule>
    <cfRule type="expression" priority="20" dxfId="3">
      <formula>OR(LEFT(AC2,8)="conflict",LEFT(AC2,7)="invalid")</formula>
    </cfRule>
    <cfRule type="expression" priority="21" dxfId="2">
      <formula>LEFT(AC2,10)="unverified"</formula>
    </cfRule>
    <cfRule type="expression" priority="22" dxfId="5">
      <formula>AC2="missing"</formula>
    </cfRule>
  </conditionalFormatting>
  <conditionalFormatting sqref="AD2:AD100000">
    <cfRule type="expression" priority="23" dxfId="0">
      <formula>LEFT(AD2,8)="verified"</formula>
    </cfRule>
    <cfRule type="expression" priority="24" dxfId="3">
      <formula>OR(LEFT(AD2,8)="conflict",LEFT(AD2,7)="invalid")</formula>
    </cfRule>
    <cfRule type="expression" priority="25" dxfId="2">
      <formula>LEFT(AD2,10)="unverified"</formula>
    </cfRule>
    <cfRule type="expression" priority="26" dxfId="5">
      <formula>AD2="missing"</formula>
    </cfRule>
  </conditionalFormatting>
  <dataValidations count="1">
    <dataValidation sqref="AI2:AI100000" showDropDown="0" showInputMessage="0" showErrorMessage="0" allowBlank="1" promptTitle="Reviewer decision" prompt="Record the manual QA outcome for this row." type="list">
      <formula1>"Approved,Rejected,Needs fix,Contacted"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M3" r:id="rId2"/>
    <hyperlink xmlns:r="http://schemas.openxmlformats.org/officeDocument/2006/relationships" ref="N4" r:id="rId3"/>
    <hyperlink xmlns:r="http://schemas.openxmlformats.org/officeDocument/2006/relationships" ref="M5" r:id="rId4"/>
    <hyperlink xmlns:r="http://schemas.openxmlformats.org/officeDocument/2006/relationships" ref="N5" r:id="rId5"/>
    <hyperlink xmlns:r="http://schemas.openxmlformats.org/officeDocument/2006/relationships" ref="M8" r:id="rId6"/>
    <hyperlink xmlns:r="http://schemas.openxmlformats.org/officeDocument/2006/relationships" ref="N8" r:id="rId7"/>
    <hyperlink xmlns:r="http://schemas.openxmlformats.org/officeDocument/2006/relationships" ref="M9" r:id="rId8"/>
    <hyperlink xmlns:r="http://schemas.openxmlformats.org/officeDocument/2006/relationships" ref="N9" r:id="rId9"/>
    <hyperlink xmlns:r="http://schemas.openxmlformats.org/officeDocument/2006/relationships" ref="M10" r:id="rId10"/>
    <hyperlink xmlns:r="http://schemas.openxmlformats.org/officeDocument/2006/relationships" ref="N10" r:id="rId11"/>
    <hyperlink xmlns:r="http://schemas.openxmlformats.org/officeDocument/2006/relationships" ref="M11" r:id="rId12"/>
    <hyperlink xmlns:r="http://schemas.openxmlformats.org/officeDocument/2006/relationships" ref="N11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N5"/>
  <sheetViews>
    <sheetView workbookViewId="0">
      <pane xSplit="3" ySplit="1" topLeftCell="D2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30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45" customWidth="1" min="9" max="9"/>
    <col width="12" customWidth="1" min="10" max="10"/>
    <col width="36" customWidth="1" min="11" max="11"/>
    <col width="24" customWidth="1" min="12" max="12"/>
    <col width="14" customWidth="1" min="13" max="13"/>
    <col width="12" customWidth="1" min="14" max="14"/>
  </cols>
  <sheetData>
    <row r="1" ht="30" customHeight="1">
      <c r="A1" s="10" t="inlineStr">
        <is>
          <t>Record ID</t>
        </is>
      </c>
      <c r="B1" s="10" t="inlineStr">
        <is>
          <t>Status</t>
        </is>
      </c>
      <c r="C1" s="10" t="inlineStr">
        <is>
          <t>Company name</t>
        </is>
      </c>
      <c r="D1" s="10" t="inlineStr">
        <is>
          <t>Review flags (why)</t>
        </is>
      </c>
      <c r="E1" s="10" t="inlineStr">
        <is>
          <t>Phone</t>
        </is>
      </c>
      <c r="F1" s="10" t="inlineStr">
        <is>
          <t>E-mail</t>
        </is>
      </c>
      <c r="G1" s="10" t="inlineStr">
        <is>
          <t>Website</t>
        </is>
      </c>
      <c r="H1" s="10" t="inlineStr">
        <is>
          <t>VAT number</t>
        </is>
      </c>
      <c r="I1" s="10" t="inlineStr">
        <is>
          <t>Checks</t>
        </is>
      </c>
      <c r="J1" s="10" t="inlineStr">
        <is>
          <t>Source</t>
        </is>
      </c>
      <c r="K1" s="10" t="inlineStr">
        <is>
          <t>Source URL</t>
        </is>
      </c>
      <c r="L1" s="10" t="inlineStr">
        <is>
          <t>Resolution</t>
        </is>
      </c>
      <c r="M1" s="10" t="inlineStr">
        <is>
          <t>Resolved by</t>
        </is>
      </c>
      <c r="N1" s="10" t="inlineStr">
        <is>
          <t>Resolved on</t>
        </is>
      </c>
    </row>
    <row r="2">
      <c r="A2" s="11" t="inlineStr">
        <is>
          <t>ROW-0002</t>
        </is>
      </c>
      <c r="B2" s="11" t="inlineStr">
        <is>
          <t>NEEDS_REVIEW</t>
        </is>
      </c>
      <c r="C2" s="11" t="inlineStr">
        <is>
          <t>Hollywok</t>
        </is>
      </c>
      <c r="D2" s="13" t="inlineStr">
        <is>
          <t>duplicate group DUP-001: same phone; names 100% similar - review</t>
        </is>
      </c>
      <c r="E2" s="11" t="inlineStr">
        <is>
          <t>+32 56 20 55 88</t>
        </is>
      </c>
      <c r="F2" s="11" t="n"/>
      <c r="G2" s="11" t="inlineStr">
        <is>
          <t>https://hollywok.be/</t>
        </is>
      </c>
      <c r="H2" s="11" t="n"/>
      <c r="I2" s="13" t="inlineStr">
        <is>
          <t>company_name: unverified
phone: unverified
website: unverified</t>
        </is>
      </c>
      <c r="J2" s="11" t="inlineStr">
        <is>
          <t>seed_companies.csv</t>
        </is>
      </c>
      <c r="K2" s="11" t="inlineStr"/>
      <c r="L2" s="11" t="n"/>
      <c r="M2" s="11" t="n"/>
      <c r="N2" s="11" t="n"/>
    </row>
    <row r="3">
      <c r="A3" s="11" t="inlineStr">
        <is>
          <t>ROW-0009</t>
        </is>
      </c>
      <c r="B3" s="11" t="inlineStr">
        <is>
          <t>NEEDS_REVIEW</t>
        </is>
      </c>
      <c r="C3" s="11" t="inlineStr">
        <is>
          <t>Hollywok Kortrijk</t>
        </is>
      </c>
      <c r="D3" s="13" t="inlineStr">
        <is>
          <t>duplicate group DUP-001: same phone; names 100% similar - review</t>
        </is>
      </c>
      <c r="E3" s="11" t="inlineStr">
        <is>
          <t>+32 56 20 55 88</t>
        </is>
      </c>
      <c r="F3" s="11" t="inlineStr">
        <is>
          <t>info@hollywok.be</t>
        </is>
      </c>
      <c r="G3" s="11" t="inlineStr">
        <is>
          <t>https://hollywok.be/</t>
        </is>
      </c>
      <c r="H3" s="11" t="n"/>
      <c r="I3" s="13" t="inlineStr">
        <is>
          <t>company_name: unverified
phone: unverified
email: unverified
website: unverified</t>
        </is>
      </c>
      <c r="J3" s="11" t="inlineStr">
        <is>
          <t>seed_companies.csv</t>
        </is>
      </c>
      <c r="K3" s="11" t="inlineStr"/>
      <c r="L3" s="11" t="n"/>
      <c r="M3" s="11" t="n"/>
      <c r="N3" s="11" t="n"/>
    </row>
    <row r="4">
      <c r="A4" s="11" t="inlineStr">
        <is>
          <t>ROW-0010</t>
        </is>
      </c>
      <c r="B4" s="11" t="inlineStr">
        <is>
          <t>NEEDS_REVIEW</t>
        </is>
      </c>
      <c r="C4" s="11" t="inlineStr">
        <is>
          <t>Viva Sara Kaffee</t>
        </is>
      </c>
      <c r="D4" s="13" t="inlineStr">
        <is>
          <t>e-mail domain (vivasarakaffee.com) differs from website domain (vivasara.be) - review</t>
        </is>
      </c>
      <c r="E4" s="11" t="inlineStr">
        <is>
          <t>+32 56 21 72 70</t>
        </is>
      </c>
      <c r="F4" s="11" t="inlineStr">
        <is>
          <t>info@vivasarakaffee.com</t>
        </is>
      </c>
      <c r="G4" s="11" t="inlineStr">
        <is>
          <t>https://vivasara.be/</t>
        </is>
      </c>
      <c r="H4" s="11" t="n"/>
      <c r="I4" s="13" t="inlineStr">
        <is>
          <t>company_name: unverified
phone: unverified
email: unverified
website: unverified</t>
        </is>
      </c>
      <c r="J4" s="11" t="inlineStr">
        <is>
          <t>seed_companies.csv</t>
        </is>
      </c>
      <c r="K4" s="11" t="inlineStr"/>
      <c r="L4" s="11" t="n"/>
      <c r="M4" s="11" t="n"/>
      <c r="N4" s="11" t="n"/>
    </row>
    <row r="5">
      <c r="A5" s="11" t="inlineStr">
        <is>
          <t>ROW-0011</t>
        </is>
      </c>
      <c r="B5" s="11" t="inlineStr">
        <is>
          <t>NEEDS_REVIEW</t>
        </is>
      </c>
      <c r="C5" s="11" t="inlineStr">
        <is>
          <t>Restaurant Doesnotexist</t>
        </is>
      </c>
      <c r="D5" s="13" t="inlineStr">
        <is>
          <t>postcode invalid postcode for BE</t>
        </is>
      </c>
      <c r="E5" s="11" t="inlineStr">
        <is>
          <t>+32 56 00 00 00</t>
        </is>
      </c>
      <c r="F5" s="11" t="inlineStr">
        <is>
          <t>hello@this-domain-does-not-exist-9f8e7d.be</t>
        </is>
      </c>
      <c r="G5" s="11" t="inlineStr">
        <is>
          <t>https://www.this-domain-does-not-exist-9f8e7d.be/</t>
        </is>
      </c>
      <c r="H5" s="11" t="n"/>
      <c r="I5" s="13" t="inlineStr">
        <is>
          <t>company_name: unverified
phone: unverified
email: unverified
website: unverified</t>
        </is>
      </c>
      <c r="J5" s="11" t="inlineStr">
        <is>
          <t>seed_companies.csv</t>
        </is>
      </c>
      <c r="K5" s="11" t="inlineStr"/>
      <c r="L5" s="11" t="n"/>
      <c r="M5" s="11" t="n"/>
      <c r="N5" s="11" t="n"/>
    </row>
  </sheetData>
  <autoFilter ref="A1:N5"/>
  <conditionalFormatting sqref="B2:B100000">
    <cfRule type="cellIs" priority="1" operator="equal" dxfId="0">
      <formula>"VERIFIED"</formula>
    </cfRule>
    <cfRule type="cellIs" priority="2" operator="equal" dxfId="1">
      <formula>"PARTIALLY_VERIFIED"</formula>
    </cfRule>
    <cfRule type="cellIs" priority="3" operator="equal" dxfId="2">
      <formula>"UNVERIFIED"</formula>
    </cfRule>
    <cfRule type="cellIs" priority="4" operator="equal" dxfId="3">
      <formula>"NEEDS_REVIEW"</formula>
    </cfRule>
    <cfRule type="cellIs" priority="5" operator="equal" dxfId="4">
      <formula>"EXCLUDED"</formula>
    </cfRule>
  </conditionalFormatting>
  <dataValidations count="1">
    <dataValidation sqref="L2:L100000" showDropDown="0" showInputMessage="0" showErrorMessage="0" allowBlank="1" type="list">
      <formula1>"Fixed,Confirmed correct,Rejected - remove,Could not verify,Contacted company"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30" customWidth="1" min="4" max="4"/>
    <col width="18" customWidth="1" min="5" max="5"/>
    <col width="30" customWidth="1" min="6" max="6"/>
    <col width="60" customWidth="1" min="7" max="7"/>
    <col width="12" customWidth="1" min="8" max="8"/>
    <col width="22" customWidth="1" min="9" max="9"/>
  </cols>
  <sheetData>
    <row r="1" ht="30" customHeight="1">
      <c r="A1" s="10" t="inlineStr">
        <is>
          <t>Group</t>
        </is>
      </c>
      <c r="B1" s="10" t="inlineStr">
        <is>
          <t>Action</t>
        </is>
      </c>
      <c r="C1" s="10" t="inlineStr">
        <is>
          <t>Kept record</t>
        </is>
      </c>
      <c r="D1" s="10" t="inlineStr">
        <is>
          <t>Kept name</t>
        </is>
      </c>
      <c r="E1" s="10" t="inlineStr">
        <is>
          <t>Other record(s)</t>
        </is>
      </c>
      <c r="F1" s="10" t="inlineStr">
        <is>
          <t>Other name(s)</t>
        </is>
      </c>
      <c r="G1" s="10" t="inlineStr">
        <is>
          <t>Reason</t>
        </is>
      </c>
      <c r="H1" s="10" t="inlineStr">
        <is>
          <t>Name similarity %</t>
        </is>
      </c>
      <c r="I1" s="10" t="inlineStr">
        <is>
          <t>Decision</t>
        </is>
      </c>
    </row>
    <row r="2">
      <c r="A2" s="11" t="inlineStr">
        <is>
          <t>DUP-001</t>
        </is>
      </c>
      <c r="B2" s="11" t="inlineStr">
        <is>
          <t>POSSIBLE duplicate - decide</t>
        </is>
      </c>
      <c r="C2" s="11" t="inlineStr">
        <is>
          <t>ROW-0009</t>
        </is>
      </c>
      <c r="D2" s="11" t="inlineStr">
        <is>
          <t>Hollywok Kortrijk</t>
        </is>
      </c>
      <c r="E2" s="11" t="inlineStr">
        <is>
          <t>ROW-0002</t>
        </is>
      </c>
      <c r="F2" s="13" t="inlineStr">
        <is>
          <t>Hollywok</t>
        </is>
      </c>
      <c r="G2" s="13" t="inlineStr">
        <is>
          <t>same phone; names 100% similar</t>
        </is>
      </c>
      <c r="H2" s="11" t="n">
        <v>100</v>
      </c>
      <c r="I2" s="11" t="n"/>
    </row>
  </sheetData>
  <conditionalFormatting sqref="B2:B100000">
    <cfRule type="expression" priority="1" dxfId="4">
      <formula>LEFT(B2,8)="POSSIBLE"</formula>
    </cfRule>
  </conditionalFormatting>
  <dataValidations count="1">
    <dataValidation sqref="I2:I100000" showDropDown="0" showInputMessage="0" showErrorMessage="0" allowBlank="1" type="list">
      <formula1>"Same entity - merge,Different entities - keep both,Unsure"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Run log</t>
        </is>
      </c>
    </row>
    <row r="3">
      <c r="A3" s="3" t="inlineStr">
        <is>
          <t>Project</t>
        </is>
      </c>
      <c r="B3" t="inlineStr">
        <is>
          <t>seed_companies</t>
        </is>
      </c>
    </row>
    <row r="4">
      <c r="A4" s="3" t="inlineStr">
        <is>
          <t>Title</t>
        </is>
      </c>
      <c r="B4" t="inlineStr">
        <is>
          <t>Quality audit of seed_companies.csv</t>
        </is>
      </c>
    </row>
    <row r="5">
      <c r="A5" s="3" t="inlineStr">
        <is>
          <t>Client / requested by</t>
        </is>
      </c>
      <c r="B5" t="inlineStr">
        <is>
          <t>-</t>
        </is>
      </c>
    </row>
    <row r="6">
      <c r="A6" s="3" t="inlineStr">
        <is>
          <t>Deadline</t>
        </is>
      </c>
      <c r="B6" t="inlineStr">
        <is>
          <t>-</t>
        </is>
      </c>
    </row>
    <row r="7">
      <c r="A7" s="3" t="inlineStr">
        <is>
          <t>Country rules</t>
        </is>
      </c>
      <c r="B7" t="inlineStr">
        <is>
          <t>BE</t>
        </is>
      </c>
    </row>
    <row r="8">
      <c r="A8" s="3" t="inlineStr">
        <is>
          <t>Schema</t>
        </is>
      </c>
      <c r="B8" t="inlineStr">
        <is>
          <t>-</t>
        </is>
      </c>
    </row>
    <row r="9">
      <c r="A9" s="3" t="inlineStr">
        <is>
          <t>Started (UTC)</t>
        </is>
      </c>
      <c r="B9" t="inlineStr">
        <is>
          <t>2026-09-08T09:01:00+00:00</t>
        </is>
      </c>
    </row>
    <row r="10">
      <c r="A10" s="3" t="inlineStr">
        <is>
          <t>Tool</t>
        </is>
      </c>
      <c r="B10" t="inlineStr">
        <is>
          <t>DataHarvest 1.0.0</t>
        </is>
      </c>
    </row>
    <row r="11">
      <c r="A11" s="3" t="inlineStr">
        <is>
          <t>Python</t>
        </is>
      </c>
      <c r="B11" t="inlineStr">
        <is>
          <t>3.11.15</t>
        </is>
      </c>
    </row>
    <row r="12">
      <c r="A12" s="3" t="inlineStr">
        <is>
          <t>Sources</t>
        </is>
      </c>
      <c r="B12" t="inlineStr">
        <is>
          <t>-</t>
        </is>
      </c>
    </row>
    <row r="13">
      <c r="A13" s="3" t="inlineStr">
        <is>
          <t>Record limit</t>
        </is>
      </c>
      <c r="B13" t="inlineStr">
        <is>
          <t>none</t>
        </is>
      </c>
    </row>
    <row r="14">
      <c r="A14" s="3" t="inlineStr">
        <is>
          <t>Records extracted</t>
        </is>
      </c>
      <c r="B14" t="n">
        <v>10</v>
      </c>
    </row>
    <row r="15">
      <c r="A15" s="3" t="inlineStr">
        <is>
          <t>Records delivered</t>
        </is>
      </c>
      <c r="B15" t="n">
        <v>10</v>
      </c>
    </row>
    <row r="17" ht="30" customHeight="1">
      <c r="A17" s="10" t="inlineStr">
        <is>
          <t>Stage</t>
        </is>
      </c>
      <c r="B17" s="10" t="inlineStr">
        <is>
          <t>Input</t>
        </is>
      </c>
      <c r="C17" s="10" t="inlineStr">
        <is>
          <t>Output</t>
        </is>
      </c>
      <c r="D17" s="10" t="inlineStr">
        <is>
          <t>Seconds</t>
        </is>
      </c>
      <c r="E17" s="10" t="inlineStr">
        <is>
          <t>Notes</t>
        </is>
      </c>
    </row>
    <row r="18">
      <c r="A18" s="11" t="inlineStr">
        <is>
          <t>load</t>
        </is>
      </c>
      <c r="B18" s="11" t="n">
        <v>10</v>
      </c>
      <c r="C18" s="11" t="n">
        <v>10</v>
      </c>
      <c r="D18" s="11" t="n">
        <v>0</v>
      </c>
      <c r="E18" s="13" t="inlineStr">
        <is>
          <t>columns mapped: 8, ignored: 0</t>
        </is>
      </c>
    </row>
    <row r="19">
      <c r="A19" s="11" t="inlineStr">
        <is>
          <t>normalise &amp; validate</t>
        </is>
      </c>
      <c r="B19" s="11" t="n">
        <v>10</v>
      </c>
      <c r="C19" s="11" t="n">
        <v>10</v>
      </c>
      <c r="D19" s="11" t="n">
        <v>0</v>
      </c>
      <c r="E19" s="13" t="inlineStr">
        <is>
          <t>2 problem(s)</t>
        </is>
      </c>
    </row>
    <row r="20">
      <c r="A20" s="11" t="inlineStr">
        <is>
          <t>duplicates</t>
        </is>
      </c>
      <c r="B20" s="11" t="n">
        <v>10</v>
      </c>
      <c r="C20" s="11" t="n">
        <v>10</v>
      </c>
      <c r="D20" s="11" t="n">
        <v>0</v>
      </c>
      <c r="E20" s="13" t="inlineStr">
        <is>
          <t>1 duplicate group(s)</t>
        </is>
      </c>
    </row>
    <row r="22">
      <c r="A22" s="3" t="inlineStr">
        <is>
          <t>Warnings</t>
        </is>
      </c>
    </row>
    <row r="23">
      <c r="A23" s="2" t="inlineStr">
        <is>
          <t>none</t>
        </is>
      </c>
    </row>
    <row r="25">
      <c r="A25" s="3" t="inlineStr">
        <is>
          <t>Settings</t>
        </is>
      </c>
    </row>
    <row r="26">
      <c r="A26" t="inlineStr">
        <is>
          <t>enrichment</t>
        </is>
      </c>
      <c r="B26" s="15" t="inlineStr">
        <is>
          <t>None</t>
        </is>
      </c>
    </row>
    <row r="27">
      <c r="A27" t="inlineStr">
        <is>
          <t>verification</t>
        </is>
      </c>
      <c r="B27" s="15" t="inlineStr">
        <is>
          <t>None</t>
        </is>
      </c>
    </row>
    <row r="28">
      <c r="A28" t="inlineStr">
        <is>
          <t>dedupe</t>
        </is>
      </c>
      <c r="B28" s="15" t="inlineStr">
        <is>
          <t>None</t>
        </is>
      </c>
    </row>
  </sheetData>
  <mergeCells count="3">
    <mergeCell ref="B26:E26"/>
    <mergeCell ref="B27:E27"/>
    <mergeCell ref="B28:E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9" customWidth="1" min="4" max="4"/>
    <col width="70" customWidth="1" min="5" max="5"/>
    <col width="60" customWidth="1" min="6" max="6"/>
  </cols>
  <sheetData>
    <row r="1" ht="30" customHeight="1">
      <c r="A1" s="10" t="inlineStr">
        <is>
          <t>Column</t>
        </is>
      </c>
      <c r="B1" s="10" t="inlineStr">
        <is>
          <t>Field key</t>
        </is>
      </c>
      <c r="C1" s="10" t="inlineStr">
        <is>
          <t>Type</t>
        </is>
      </c>
      <c r="D1" s="10" t="inlineStr">
        <is>
          <t>Required</t>
        </is>
      </c>
      <c r="E1" s="10" t="inlineStr">
        <is>
          <t>Description</t>
        </is>
      </c>
      <c r="F1" s="10" t="inlineStr">
        <is>
          <t>How it is verified</t>
        </is>
      </c>
    </row>
    <row r="2">
      <c r="A2" s="11" t="inlineStr">
        <is>
          <t>Record ID</t>
        </is>
      </c>
      <c r="B2" s="11" t="inlineStr">
        <is>
          <t>record_id</t>
        </is>
      </c>
      <c r="C2" s="11" t="inlineStr">
        <is>
          <t>system</t>
        </is>
      </c>
      <c r="D2" s="11" t="inlineStr"/>
      <c r="E2" s="13" t="inlineStr">
        <is>
          <t>Stable identifier of the row (referenced in the Duplicates and Needs Review sheets).</t>
        </is>
      </c>
      <c r="F2" s="13" t="inlineStr"/>
    </row>
    <row r="3">
      <c r="A3" s="11" t="inlineStr">
        <is>
          <t>Company name</t>
        </is>
      </c>
      <c r="B3" s="11" t="inlineStr">
        <is>
          <t>company_name</t>
        </is>
      </c>
      <c r="C3" s="11" t="inlineStr">
        <is>
          <t>string</t>
        </is>
      </c>
      <c r="D3" s="11" t="inlineStr">
        <is>
          <t>yes</t>
        </is>
      </c>
      <c r="E3" s="13" t="inlineStr">
        <is>
          <t>Trade name of the business as it presents itself publicly.</t>
        </is>
      </c>
      <c r="F3" s="13" t="inlineStr">
        <is>
          <t>Present in the primary source; confirmed when found on the company's own website.</t>
        </is>
      </c>
    </row>
    <row r="4">
      <c r="A4" s="11" t="inlineStr">
        <is>
          <t>Legal entity name</t>
        </is>
      </c>
      <c r="B4" s="11" t="inlineStr">
        <is>
          <t>legal_name</t>
        </is>
      </c>
      <c r="C4" s="11" t="inlineStr">
        <is>
          <t>string</t>
        </is>
      </c>
      <c r="D4" s="11" t="inlineStr"/>
      <c r="E4" s="13" t="inlineStr">
        <is>
          <t>Registered legal name (from the VAT register), when it differs from the trade name.</t>
        </is>
      </c>
      <c r="F4" s="13" t="inlineStr">
        <is>
          <t>Returned by the EU VIES VAT service for a valid VAT number.</t>
        </is>
      </c>
    </row>
    <row r="5">
      <c r="A5" s="11" t="inlineStr">
        <is>
          <t>Category</t>
        </is>
      </c>
      <c r="B5" s="11" t="inlineStr">
        <is>
          <t>category</t>
        </is>
      </c>
      <c r="C5" s="11" t="inlineStr">
        <is>
          <t>string</t>
        </is>
      </c>
      <c r="D5" s="11" t="inlineStr"/>
      <c r="E5" s="13" t="inlineStr">
        <is>
          <t>Main business category (e.g. restaurant, cafe, software company).</t>
        </is>
      </c>
      <c r="F5" s="13" t="inlineStr"/>
    </row>
    <row r="6">
      <c r="A6" s="11" t="inlineStr">
        <is>
          <t>Subcategory</t>
        </is>
      </c>
      <c r="B6" s="11" t="inlineStr">
        <is>
          <t>subcategory</t>
        </is>
      </c>
      <c r="C6" s="11" t="inlineStr">
        <is>
          <t>string</t>
        </is>
      </c>
      <c r="D6" s="11" t="inlineStr"/>
      <c r="E6" s="13" t="inlineStr">
        <is>
          <t>Finer classification (e.g. cuisine type, industry).</t>
        </is>
      </c>
      <c r="F6" s="13" t="inlineStr"/>
    </row>
    <row r="7">
      <c r="A7" s="11" t="inlineStr">
        <is>
          <t>Street</t>
        </is>
      </c>
      <c r="B7" s="11" t="inlineStr">
        <is>
          <t>street</t>
        </is>
      </c>
      <c r="C7" s="11" t="inlineStr">
        <is>
          <t>string</t>
        </is>
      </c>
      <c r="D7" s="11" t="inlineStr"/>
      <c r="E7" s="13" t="inlineStr"/>
      <c r="F7" s="13" t="inlineStr"/>
    </row>
    <row r="8">
      <c r="A8" s="11" t="inlineStr">
        <is>
          <t>No.</t>
        </is>
      </c>
      <c r="B8" s="11" t="inlineStr">
        <is>
          <t>house_number</t>
        </is>
      </c>
      <c r="C8" s="11" t="inlineStr">
        <is>
          <t>string</t>
        </is>
      </c>
      <c r="D8" s="11" t="inlineStr"/>
      <c r="E8" s="13" t="inlineStr"/>
      <c r="F8" s="13" t="inlineStr"/>
    </row>
    <row r="9">
      <c r="A9" s="11" t="inlineStr">
        <is>
          <t>Postcode</t>
        </is>
      </c>
      <c r="B9" s="11" t="inlineStr">
        <is>
          <t>postcode</t>
        </is>
      </c>
      <c r="C9" s="11" t="inlineStr">
        <is>
          <t>postcode</t>
        </is>
      </c>
      <c r="D9" s="11" t="inlineStr"/>
      <c r="E9" s="13" t="inlineStr"/>
      <c r="F9" s="13" t="inlineStr">
        <is>
          <t>Format checked for the project country.</t>
        </is>
      </c>
    </row>
    <row r="10">
      <c r="A10" s="11" t="inlineStr">
        <is>
          <t>City</t>
        </is>
      </c>
      <c r="B10" s="11" t="inlineStr">
        <is>
          <t>city</t>
        </is>
      </c>
      <c r="C10" s="11" t="inlineStr">
        <is>
          <t>string</t>
        </is>
      </c>
      <c r="D10" s="11" t="inlineStr"/>
      <c r="E10" s="13" t="inlineStr"/>
      <c r="F10" s="13" t="inlineStr"/>
    </row>
    <row r="11">
      <c r="A11" s="11" t="inlineStr">
        <is>
          <t>District</t>
        </is>
      </c>
      <c r="B11" s="11" t="inlineStr">
        <is>
          <t>district</t>
        </is>
      </c>
      <c r="C11" s="11" t="inlineStr">
        <is>
          <t>string</t>
        </is>
      </c>
      <c r="D11" s="11" t="inlineStr"/>
      <c r="E11" s="13" t="inlineStr">
        <is>
          <t>Sub-municipality / neighbourhood when known.</t>
        </is>
      </c>
      <c r="F11" s="13" t="inlineStr"/>
    </row>
    <row r="12">
      <c r="A12" s="11" t="inlineStr">
        <is>
          <t>Country</t>
        </is>
      </c>
      <c r="B12" s="11" t="inlineStr">
        <is>
          <t>country</t>
        </is>
      </c>
      <c r="C12" s="11" t="inlineStr">
        <is>
          <t>string</t>
        </is>
      </c>
      <c r="D12" s="11" t="inlineStr"/>
      <c r="E12" s="13" t="inlineStr">
        <is>
          <t>ISO 3166-1 alpha-2 code.</t>
        </is>
      </c>
      <c r="F12" s="13" t="inlineStr"/>
    </row>
    <row r="13">
      <c r="A13" s="11" t="inlineStr">
        <is>
          <t>Phone</t>
        </is>
      </c>
      <c r="B13" s="11" t="inlineStr">
        <is>
          <t>phone</t>
        </is>
      </c>
      <c r="C13" s="11" t="inlineStr">
        <is>
          <t>phone</t>
        </is>
      </c>
      <c r="D13" s="11" t="inlineStr"/>
      <c r="E13" s="13" t="inlineStr"/>
      <c r="F13" s="13" t="inlineStr">
        <is>
          <t>Parsed and validated with libphonenumber; confirmed when the same number appears on the website.</t>
        </is>
      </c>
    </row>
    <row r="14">
      <c r="A14" s="11" t="inlineStr">
        <is>
          <t>E-mail</t>
        </is>
      </c>
      <c r="B14" s="11" t="inlineStr">
        <is>
          <t>email</t>
        </is>
      </c>
      <c r="C14" s="11" t="inlineStr">
        <is>
          <t>email</t>
        </is>
      </c>
      <c r="D14" s="11" t="inlineStr"/>
      <c r="E14" s="13" t="inlineStr"/>
      <c r="F14" s="13" t="inlineStr">
        <is>
          <t>Syntax check + mail-domain (MX) lookup; confirmed when found on the company's website.</t>
        </is>
      </c>
    </row>
    <row r="15">
      <c r="A15" s="11" t="inlineStr">
        <is>
          <t>Website</t>
        </is>
      </c>
      <c r="B15" s="11" t="inlineStr">
        <is>
          <t>website</t>
        </is>
      </c>
      <c r="C15" s="11" t="inlineStr">
        <is>
          <t>url</t>
        </is>
      </c>
      <c r="D15" s="11" t="inlineStr"/>
      <c r="E15" s="13" t="inlineStr"/>
      <c r="F15" s="13" t="inlineStr">
        <is>
          <t>Fetched live; confirmed when the company name appears on the page.</t>
        </is>
      </c>
    </row>
    <row r="16">
      <c r="A16" s="11" t="inlineStr">
        <is>
          <t>LinkedIn</t>
        </is>
      </c>
      <c r="B16" s="11" t="inlineStr">
        <is>
          <t>linkedin</t>
        </is>
      </c>
      <c r="C16" s="11" t="inlineStr">
        <is>
          <t>social</t>
        </is>
      </c>
      <c r="D16" s="11" t="inlineStr"/>
      <c r="E16" s="13" t="inlineStr"/>
      <c r="F16" s="13" t="inlineStr">
        <is>
          <t>Link found on the company's own website or supplied by the source.</t>
        </is>
      </c>
    </row>
    <row r="17">
      <c r="A17" s="11" t="inlineStr">
        <is>
          <t>Facebook</t>
        </is>
      </c>
      <c r="B17" s="11" t="inlineStr">
        <is>
          <t>facebook</t>
        </is>
      </c>
      <c r="C17" s="11" t="inlineStr">
        <is>
          <t>social</t>
        </is>
      </c>
      <c r="D17" s="11" t="inlineStr"/>
      <c r="E17" s="13" t="inlineStr"/>
      <c r="F17" s="13" t="inlineStr"/>
    </row>
    <row r="18">
      <c r="A18" s="11" t="inlineStr">
        <is>
          <t>Instagram</t>
        </is>
      </c>
      <c r="B18" s="11" t="inlineStr">
        <is>
          <t>instagram</t>
        </is>
      </c>
      <c r="C18" s="11" t="inlineStr">
        <is>
          <t>social</t>
        </is>
      </c>
      <c r="D18" s="11" t="inlineStr"/>
      <c r="E18" s="13" t="inlineStr"/>
      <c r="F18" s="13" t="inlineStr"/>
    </row>
    <row r="19">
      <c r="A19" s="11" t="inlineStr">
        <is>
          <t>VAT number</t>
        </is>
      </c>
      <c r="B19" s="11" t="inlineStr">
        <is>
          <t>vat_number</t>
        </is>
      </c>
      <c r="C19" s="11" t="inlineStr">
        <is>
          <t>vat</t>
        </is>
      </c>
      <c r="D19" s="11" t="inlineStr"/>
      <c r="E19" s="13" t="inlineStr"/>
      <c r="F19" s="13" t="inlineStr">
        <is>
          <t>Checksum validated; existence and registered name checked with the EU VIES service.</t>
        </is>
      </c>
    </row>
    <row r="20">
      <c r="A20" s="11" t="inlineStr">
        <is>
          <t>Opening hours</t>
        </is>
      </c>
      <c r="B20" s="11" t="inlineStr">
        <is>
          <t>opening_hours</t>
        </is>
      </c>
      <c r="C20" s="11" t="inlineStr">
        <is>
          <t>text</t>
        </is>
      </c>
      <c r="D20" s="11" t="inlineStr"/>
      <c r="E20" s="13" t="inlineStr"/>
      <c r="F20" s="13" t="inlineStr"/>
    </row>
    <row r="21">
      <c r="A21" s="11" t="inlineStr">
        <is>
          <t>Description</t>
        </is>
      </c>
      <c r="B21" s="11" t="inlineStr">
        <is>
          <t>description</t>
        </is>
      </c>
      <c r="C21" s="11" t="inlineStr">
        <is>
          <t>text</t>
        </is>
      </c>
      <c r="D21" s="11" t="inlineStr"/>
      <c r="E21" s="13" t="inlineStr"/>
      <c r="F21" s="13" t="inlineStr"/>
    </row>
    <row r="22">
      <c r="A22" s="11" t="inlineStr">
        <is>
          <t>Latitude</t>
        </is>
      </c>
      <c r="B22" s="11" t="inlineStr">
        <is>
          <t>latitude</t>
        </is>
      </c>
      <c r="C22" s="11" t="inlineStr">
        <is>
          <t>latitude</t>
        </is>
      </c>
      <c r="D22" s="11" t="inlineStr"/>
      <c r="E22" s="13" t="inlineStr"/>
      <c r="F22" s="13" t="inlineStr"/>
    </row>
    <row r="23">
      <c r="A23" s="11" t="inlineStr">
        <is>
          <t>Longitude</t>
        </is>
      </c>
      <c r="B23" s="11" t="inlineStr">
        <is>
          <t>longitude</t>
        </is>
      </c>
      <c r="C23" s="11" t="inlineStr">
        <is>
          <t>longitude</t>
        </is>
      </c>
      <c r="D23" s="11" t="inlineStr"/>
      <c r="E23" s="13" t="inlineStr"/>
      <c r="F23" s="13" t="inlineStr"/>
    </row>
    <row r="24">
      <c r="A24" s="11" t="inlineStr">
        <is>
          <t>Verification status</t>
        </is>
      </c>
      <c r="B24" s="11" t="inlineStr">
        <is>
          <t>status</t>
        </is>
      </c>
      <c r="C24" s="11" t="inlineStr">
        <is>
          <t>system</t>
        </is>
      </c>
      <c r="D24" s="11" t="inlineStr"/>
      <c r="E24" s="13" t="inlineStr">
        <is>
          <t>Overall record status: VERIFIED, PARTIALLY_VERIFIED, UNVERIFIED or NEEDS_REVIEW (see Summary legend).</t>
        </is>
      </c>
      <c r="F24" s="13" t="inlineStr"/>
    </row>
    <row r="25">
      <c r="A25" s="11" t="inlineStr">
        <is>
          <t>Review flags</t>
        </is>
      </c>
      <c r="B25" s="11" t="inlineStr">
        <is>
          <t>flags</t>
        </is>
      </c>
      <c r="C25" s="11" t="inlineStr">
        <is>
          <t>system</t>
        </is>
      </c>
      <c r="D25" s="11" t="inlineStr"/>
      <c r="E25" s="13" t="inlineStr">
        <is>
          <t>Everything a human should look at, one issue per line. Lines starting with 'note:' are informational.</t>
        </is>
      </c>
      <c r="F25" s="13" t="inlineStr"/>
    </row>
    <row r="26">
      <c r="A26" s="11" t="inlineStr">
        <is>
          <t>Completeness %</t>
        </is>
      </c>
      <c r="B26" s="11" t="inlineStr">
        <is>
          <t>completeness</t>
        </is>
      </c>
      <c r="C26" s="11" t="inlineStr">
        <is>
          <t>system</t>
        </is>
      </c>
      <c r="D26" s="11" t="inlineStr"/>
      <c r="E26" s="13" t="inlineStr">
        <is>
          <t>Share of schema fields that have a value (required fields weigh double).</t>
        </is>
      </c>
      <c r="F26" s="13" t="inlineStr"/>
    </row>
    <row r="27">
      <c r="A27" s="11" t="inlineStr">
        <is>
          <t>Company name check</t>
        </is>
      </c>
      <c r="B27" s="11" t="inlineStr">
        <is>
          <t>check:company_name</t>
        </is>
      </c>
      <c r="C27" s="11" t="inlineStr">
        <is>
          <t>status</t>
        </is>
      </c>
      <c r="D27" s="11" t="inlineStr"/>
      <c r="E27" s="13" t="inlineStr">
        <is>
          <t>Verification status of the field, with the reason and any other values seen in other sources.</t>
        </is>
      </c>
      <c r="F27" s="13" t="inlineStr"/>
    </row>
    <row r="28">
      <c r="A28" s="11" t="inlineStr">
        <is>
          <t>Website check</t>
        </is>
      </c>
      <c r="B28" s="11" t="inlineStr">
        <is>
          <t>check:website</t>
        </is>
      </c>
      <c r="C28" s="11" t="inlineStr">
        <is>
          <t>status</t>
        </is>
      </c>
      <c r="D28" s="11" t="inlineStr"/>
      <c r="E28" s="13" t="inlineStr">
        <is>
          <t>Verification status of the field, with the reason and any other values seen in other sources.</t>
        </is>
      </c>
      <c r="F28" s="13" t="inlineStr"/>
    </row>
    <row r="29">
      <c r="A29" s="11" t="inlineStr">
        <is>
          <t>E-mail check</t>
        </is>
      </c>
      <c r="B29" s="11" t="inlineStr">
        <is>
          <t>check:email</t>
        </is>
      </c>
      <c r="C29" s="11" t="inlineStr">
        <is>
          <t>status</t>
        </is>
      </c>
      <c r="D29" s="11" t="inlineStr"/>
      <c r="E29" s="13" t="inlineStr">
        <is>
          <t>Verification status of the field, with the reason and any other values seen in other sources.</t>
        </is>
      </c>
      <c r="F29" s="13" t="inlineStr"/>
    </row>
    <row r="30">
      <c r="A30" s="11" t="inlineStr">
        <is>
          <t>Phone check</t>
        </is>
      </c>
      <c r="B30" s="11" t="inlineStr">
        <is>
          <t>check:phone</t>
        </is>
      </c>
      <c r="C30" s="11" t="inlineStr">
        <is>
          <t>status</t>
        </is>
      </c>
      <c r="D30" s="11" t="inlineStr"/>
      <c r="E30" s="13" t="inlineStr">
        <is>
          <t>Verification status of the field, with the reason and any other values seen in other sources.</t>
        </is>
      </c>
      <c r="F30" s="13" t="inlineStr"/>
    </row>
    <row r="31">
      <c r="A31" s="11" t="inlineStr">
        <is>
          <t>VAT number check</t>
        </is>
      </c>
      <c r="B31" s="11" t="inlineStr">
        <is>
          <t>check:vat_number</t>
        </is>
      </c>
      <c r="C31" s="11" t="inlineStr">
        <is>
          <t>status</t>
        </is>
      </c>
      <c r="D31" s="11" t="inlineStr"/>
      <c r="E31" s="13" t="inlineStr">
        <is>
          <t>Verification status of the field, with the reason and any other values seen in other sources.</t>
        </is>
      </c>
      <c r="F31" s="13" t="inlineStr"/>
    </row>
    <row r="32">
      <c r="A32" s="11" t="inlineStr">
        <is>
          <t>Source</t>
        </is>
      </c>
      <c r="B32" s="11" t="inlineStr">
        <is>
          <t>source</t>
        </is>
      </c>
      <c r="C32" s="11" t="inlineStr">
        <is>
          <t>system</t>
        </is>
      </c>
      <c r="D32" s="11" t="inlineStr"/>
      <c r="E32" s="13" t="inlineStr">
        <is>
          <t>Primary source the record was extracted from.</t>
        </is>
      </c>
      <c r="F32" s="13" t="inlineStr"/>
    </row>
    <row r="33">
      <c r="A33" s="11" t="inlineStr">
        <is>
          <t>Source URL</t>
        </is>
      </c>
      <c r="B33" s="11" t="inlineStr">
        <is>
          <t>source_url</t>
        </is>
      </c>
      <c r="C33" s="11" t="inlineStr">
        <is>
          <t>system</t>
        </is>
      </c>
      <c r="D33" s="11" t="inlineStr"/>
      <c r="E33" s="13" t="inlineStr">
        <is>
          <t>Link to the record in the primary source, for traceability.</t>
        </is>
      </c>
      <c r="F33" s="13" t="inlineStr"/>
    </row>
    <row r="34">
      <c r="A34" s="11" t="inlineStr">
        <is>
          <t>Duplicate group</t>
        </is>
      </c>
      <c r="B34" s="11" t="inlineStr">
        <is>
          <t>duplicate_group</t>
        </is>
      </c>
      <c r="C34" s="11" t="inlineStr">
        <is>
          <t>system</t>
        </is>
      </c>
      <c r="D34" s="11" t="inlineStr"/>
      <c r="E34" s="13" t="inlineStr">
        <is>
          <t>Set when the record was part of a duplicate cluster (see Duplicates sheet).</t>
        </is>
      </c>
      <c r="F34" s="13" t="inlineStr"/>
    </row>
    <row r="35">
      <c r="A35" s="11" t="inlineStr">
        <is>
          <t>Extracted at (UTC)</t>
        </is>
      </c>
      <c r="B35" s="11" t="inlineStr">
        <is>
          <t>extracted_at</t>
        </is>
      </c>
      <c r="C35" s="11" t="inlineStr">
        <is>
          <t>system</t>
        </is>
      </c>
      <c r="D35" s="11" t="inlineStr"/>
      <c r="E35" s="13" t="inlineStr">
        <is>
          <t>UTC timestamp of extraction.</t>
        </is>
      </c>
      <c r="F35" s="13" t="inlineStr"/>
    </row>
    <row r="36">
      <c r="A36" s="11" t="inlineStr">
        <is>
          <t>Reviewer decision</t>
        </is>
      </c>
      <c r="B36" s="11" t="inlineStr">
        <is>
          <t>reviewer_decision</t>
        </is>
      </c>
      <c r="C36" s="11" t="inlineStr">
        <is>
          <t>system</t>
        </is>
      </c>
      <c r="D36" s="11" t="inlineStr"/>
      <c r="E36" s="13" t="inlineStr">
        <is>
          <t>Manual QA outcome (drop-down). Left empty by the tool.</t>
        </is>
      </c>
      <c r="F36" s="13" t="inlineStr"/>
    </row>
    <row r="37">
      <c r="A37" s="11" t="inlineStr">
        <is>
          <t>Reviewer notes</t>
        </is>
      </c>
      <c r="B37" s="11" t="inlineStr">
        <is>
          <t>reviewer_notes</t>
        </is>
      </c>
      <c r="C37" s="11" t="inlineStr">
        <is>
          <t>system</t>
        </is>
      </c>
      <c r="D37" s="11" t="inlineStr"/>
      <c r="E37" s="13" t="inlineStr">
        <is>
          <t>Free text for the reviewer.</t>
        </is>
      </c>
      <c r="F37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2026-09-08T09:01:00Z</dcterms:created>
  <dcterms:modified xmlns:dcterms="http://purl.org/dc/terms/" xmlns:xsi="http://www.w3.org/2001/XMLSchema-instance" xsi:type="dcterms:W3CDTF">2026-09-08T09:01:00Z</dcterms:modified>
</cp:coreProperties>
</file>